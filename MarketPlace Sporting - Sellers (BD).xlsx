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lers" sheetId="1" r:id="rId5"/>
    <sheet state="visible" name="definicion_tecnica" sheetId="2" r:id="rId6"/>
    <sheet state="visible" name="calificaciones" sheetId="3" r:id="rId7"/>
    <sheet state="visible" name="relevamientos" sheetId="4" r:id="rId8"/>
    <sheet state="visible" name="timeline" sheetId="5" r:id="rId9"/>
    <sheet state="visible" name="pipeline" sheetId="6" r:id="rId10"/>
    <sheet state="visible" name="tarifas" sheetId="7" r:id="rId11"/>
    <sheet state="visible" name="overrides" sheetId="8" r:id="rId12"/>
    <sheet state="visible" name="config" sheetId="9" r:id="rId13"/>
    <sheet state="visible" name="sc_roadmap" sheetId="10" r:id="rId14"/>
  </sheets>
  <definedNames/>
  <calcPr/>
</workbook>
</file>

<file path=xl/sharedStrings.xml><?xml version="1.0" encoding="utf-8"?>
<sst xmlns="http://schemas.openxmlformats.org/spreadsheetml/2006/main" count="1808" uniqueCount="916">
  <si>
    <t>seller_id</t>
  </si>
  <si>
    <t>seller_nombre</t>
  </si>
  <si>
    <t>empresa_grupo</t>
  </si>
  <si>
    <t>marca_seller_operativo</t>
  </si>
  <si>
    <t>url_seller</t>
  </si>
  <si>
    <t>categoria_estimada</t>
  </si>
  <si>
    <t>plataforma_estimada</t>
  </si>
  <si>
    <t>modelo_integracion_estimado</t>
  </si>
  <si>
    <t>estado_pipeline</t>
  </si>
  <si>
    <t>prioridad</t>
  </si>
  <si>
    <t>sitio_objetivo</t>
  </si>
  <si>
    <t>responsable</t>
  </si>
  <si>
    <t>contacto_nombre</t>
  </si>
  <si>
    <t>contacto_email</t>
  </si>
  <si>
    <t>contacto_tel</t>
  </si>
  <si>
    <t>fecha_alta</t>
  </si>
  <si>
    <t>fecha_ultima_actualizacion</t>
  </si>
  <si>
    <t>proximo_paso</t>
  </si>
  <si>
    <t>observaciones</t>
  </si>
  <si>
    <t>activo</t>
  </si>
  <si>
    <t>SPT-001</t>
  </si>
  <si>
    <t>Bunker</t>
  </si>
  <si>
    <t>Bunker Store</t>
  </si>
  <si>
    <t>https://bunkerstore.com.ar/</t>
  </si>
  <si>
    <t>Suplementos</t>
  </si>
  <si>
    <t>WordPress</t>
  </si>
  <si>
    <t>Híbrido / Transitorio</t>
  </si>
  <si>
    <t>evaluación</t>
  </si>
  <si>
    <t>Alta</t>
  </si>
  <si>
    <t>Sporting</t>
  </si>
  <si>
    <t>Rafael Nieto</t>
  </si>
  <si>
    <t>SI</t>
  </si>
  <si>
    <t>SPT-002</t>
  </si>
  <si>
    <t>Taika Sport</t>
  </si>
  <si>
    <t>https://www.taikasport.com.ar/</t>
  </si>
  <si>
    <t>Accesorios</t>
  </si>
  <si>
    <t>Tiendanube</t>
  </si>
  <si>
    <t>contactos</t>
  </si>
  <si>
    <t>Gabriel Luna</t>
  </si>
  <si>
    <t>Tue Mar 31 2026 21:00:00 GMT-0300 (hora estándar de Argentina)</t>
  </si>
  <si>
    <t>SPT-003</t>
  </si>
  <si>
    <t>Topper</t>
  </si>
  <si>
    <t>Alpargatas Argentina y Grupo Camargo Corrêa</t>
  </si>
  <si>
    <t>https://www.topper.com.ar/</t>
  </si>
  <si>
    <t>Calzado · Indumentaria · Accesorios</t>
  </si>
  <si>
    <t>VTEX</t>
  </si>
  <si>
    <t>VTEX ↔ VTEX</t>
  </si>
  <si>
    <t>SPT-005</t>
  </si>
  <si>
    <t>Asics (Dass)</t>
  </si>
  <si>
    <t>Grupo Dass</t>
  </si>
  <si>
    <t>Asics</t>
  </si>
  <si>
    <t>https://www.asics.com.ar/</t>
  </si>
  <si>
    <t>identificados</t>
  </si>
  <si>
    <t>SPT-006</t>
  </si>
  <si>
    <t>Fila (Dass)</t>
  </si>
  <si>
    <t>Fila</t>
  </si>
  <si>
    <t>https://tienda.fila.com.ar/</t>
  </si>
  <si>
    <t>Media</t>
  </si>
  <si>
    <t>SPT-007</t>
  </si>
  <si>
    <t>Umbro (Dass)</t>
  </si>
  <si>
    <t>Umbro</t>
  </si>
  <si>
    <t>https://tienda.umbro.com.ar/</t>
  </si>
  <si>
    <t>Otro</t>
  </si>
  <si>
    <t>SPT-008</t>
  </si>
  <si>
    <t>Mizuno (Bisa)</t>
  </si>
  <si>
    <t>Bisa</t>
  </si>
  <si>
    <t>Mizuno</t>
  </si>
  <si>
    <t>https://arg.mizuno.com/</t>
  </si>
  <si>
    <t>Calzado · Indumentaria</t>
  </si>
  <si>
    <t>SPT-009</t>
  </si>
  <si>
    <t>Champion (Bisa)</t>
  </si>
  <si>
    <t>Champion</t>
  </si>
  <si>
    <t>https://www.championstore.com.ar/</t>
  </si>
  <si>
    <t>ERP / Sistema propio</t>
  </si>
  <si>
    <t>SPT-004</t>
  </si>
  <si>
    <t>Atomik</t>
  </si>
  <si>
    <t>https://www.atomik.com.ar/</t>
  </si>
  <si>
    <t>Wed Apr 22 2026 21:00:00 GMT-0300 (hora estándar de Argentina)</t>
  </si>
  <si>
    <t>SPT-010</t>
  </si>
  <si>
    <t>Puma</t>
  </si>
  <si>
    <t>https://ar.puma.com/</t>
  </si>
  <si>
    <t>API Seller Center</t>
  </si>
  <si>
    <t>SPT-011</t>
  </si>
  <si>
    <t>Under Armour (Bisa)</t>
  </si>
  <si>
    <t>Under Armour</t>
  </si>
  <si>
    <t>https://www.underarmour.com.ar/</t>
  </si>
  <si>
    <t>SalesForceCommerce</t>
  </si>
  <si>
    <t>SPT-012</t>
  </si>
  <si>
    <t>Bullpadel</t>
  </si>
  <si>
    <t>Aguirre y Cía</t>
  </si>
  <si>
    <t>https://bullpadelargentina.com.ar/</t>
  </si>
  <si>
    <t>Artículos deportivos</t>
  </si>
  <si>
    <t>SPT-013</t>
  </si>
  <si>
    <t>Babolat (Brand Team)</t>
  </si>
  <si>
    <t>Brand Team</t>
  </si>
  <si>
    <t>Babolat</t>
  </si>
  <si>
    <t>https://www.babolat.com.ar/</t>
  </si>
  <si>
    <t>SPT-014</t>
  </si>
  <si>
    <t>Saucony (Brand Team)</t>
  </si>
  <si>
    <t>Saucony</t>
  </si>
  <si>
    <t>https://saucony.com.ar/</t>
  </si>
  <si>
    <t>SPT-015</t>
  </si>
  <si>
    <t>Filament</t>
  </si>
  <si>
    <t>https://www.filament.com.ar/</t>
  </si>
  <si>
    <t>Calzado</t>
  </si>
  <si>
    <t>Mon May 04 2026 21:00:00 GMT-0300 (hora estándar de Argentina)</t>
  </si>
  <si>
    <t>fecha_generacion</t>
  </si>
  <si>
    <t>estado_definicion</t>
  </si>
  <si>
    <t>nombre_seller</t>
  </si>
  <si>
    <t>resultado_calificacion</t>
  </si>
  <si>
    <t>modelo_sugerido</t>
  </si>
  <si>
    <t>riesgo_logistico</t>
  </si>
  <si>
    <t>complejidad_general</t>
  </si>
  <si>
    <t>modelo_integracion_definido</t>
  </si>
  <si>
    <t>plataforma</t>
  </si>
  <si>
    <t>erp</t>
  </si>
  <si>
    <t>api</t>
  </si>
  <si>
    <t>metodo_integracion_relevado</t>
  </si>
  <si>
    <t>operador_logistico</t>
  </si>
  <si>
    <t>entrega_pais</t>
  </si>
  <si>
    <t>skus_estimados</t>
  </si>
  <si>
    <t>frec_actualizacion</t>
  </si>
  <si>
    <t>frec_stock</t>
  </si>
  <si>
    <t>frec_precios</t>
  </si>
  <si>
    <t>alcance_catalogo</t>
  </si>
  <si>
    <t>alcance_stock</t>
  </si>
  <si>
    <t>alcance_precio</t>
  </si>
  <si>
    <t>alcance_pedidos</t>
  </si>
  <si>
    <t>alcance_logistica</t>
  </si>
  <si>
    <t>alcance_devoluciones</t>
  </si>
  <si>
    <t>alcance_facturacion</t>
  </si>
  <si>
    <t>alcance_conciliacion</t>
  </si>
  <si>
    <t>responsable_marketplace</t>
  </si>
  <si>
    <t>responsable_seller</t>
  </si>
  <si>
    <t>responsable_tecnico</t>
  </si>
  <si>
    <t>requerimientos_seller</t>
  </si>
  <si>
    <t>requerimientos_sporting</t>
  </si>
  <si>
    <t>desarrollos_necesarios</t>
  </si>
  <si>
    <t>integraciones_necesarias</t>
  </si>
  <si>
    <t>bloqueantes</t>
  </si>
  <si>
    <t>riesgos</t>
  </si>
  <si>
    <t>pendientes</t>
  </si>
  <si>
    <t>fecha_estimada_inicio</t>
  </si>
  <si>
    <t>fecha_estimada_go_live</t>
  </si>
  <si>
    <t>Pendiente de análisis</t>
  </si>
  <si>
    <t>Apto con relevamiento técnico</t>
  </si>
  <si>
    <t>VTEX → VTEX</t>
  </si>
  <si>
    <t>Medio</t>
  </si>
  <si>
    <t>Relevar estructura de producto/SKU y atributos obligatorios. Validar disponibilidad de imágenes.</t>
  </si>
  <si>
    <t>Definir origen y frecuencia de actualización de stock.</t>
  </si>
  <si>
    <t>Definir mecanismo de actualización de precios.</t>
  </si>
  <si>
    <t>Definir flujo de recepción y gestión de pedidos.</t>
  </si>
  <si>
    <t>Validar operador logístico (sin dato), cobertura (sin dato) y origen de despacho (sin dato).</t>
  </si>
  <si>
    <t>Definir flujo de devoluciones y responsable de logística inversa.</t>
  </si>
  <si>
    <t>Definir mecanismo de emisión y envío de comprobantes.</t>
  </si>
  <si>
    <t>A definir</t>
  </si>
  <si>
    <t>Confirmar responsables comercial, técnico y operativo. Entregar catálogo base con atributos mínimos. Confirmar esquema de stock, precios, logística y devoluciones.</t>
  </si>
  <si>
    <t>Validar modelo de integración, alcance funcional, reglas operativas, pruebas end-to-end y criterios de go live.</t>
  </si>
  <si>
    <t>Configuración y validación de integración VTEX → VTEX.</t>
  </si>
  <si>
    <t>VTEX seller ↔ VTEX Marketplace.</t>
  </si>
  <si>
    <t>Sin bloqueantes críticos detectados automáticamente.</t>
  </si>
  <si>
    <t>Riesgo logístico: Medio.</t>
  </si>
  <si>
    <t>Revisar definición técnica y confirmar alcance con el equipo.</t>
  </si>
  <si>
    <t>Analizar relevamiento completo y confirmar modelo de integración.</t>
  </si>
  <si>
    <t>Fila generada automáticamente desde el relevamiento completo. Completar decisión final de forma interna.</t>
  </si>
  <si>
    <t>fecha_envio</t>
  </si>
  <si>
    <t>estado_calificacion</t>
  </si>
  <si>
    <t>completitud</t>
  </si>
  <si>
    <t>nombre</t>
  </si>
  <si>
    <t>categorias</t>
  </si>
  <si>
    <t>vende_online</t>
  </si>
  <si>
    <t>canales_venta</t>
  </si>
  <si>
    <t>envia_pais</t>
  </si>
  <si>
    <t>origen_despacho</t>
  </si>
  <si>
    <t>otro_operador_logistico</t>
  </si>
  <si>
    <t>comentarios</t>
  </si>
  <si>
    <t>resultado_sugerido</t>
  </si>
  <si>
    <t>Completo</t>
  </si>
  <si>
    <t>xxxx</t>
  </si>
  <si>
    <t>gabriel.luna@luquin.com.ar</t>
  </si>
  <si>
    <t>100 - 500</t>
  </si>
  <si>
    <t>Sí</t>
  </si>
  <si>
    <t>Marketplaces</t>
  </si>
  <si>
    <t>Parcial / algunas zonas</t>
  </si>
  <si>
    <t>Más de un depósito</t>
  </si>
  <si>
    <t>estado_relevamiento</t>
  </si>
  <si>
    <t>razon_social</t>
  </si>
  <si>
    <t>cuit</t>
  </si>
  <si>
    <t>web</t>
  </si>
  <si>
    <t>pais_provincia</t>
  </si>
  <si>
    <t>tipo_empresa</t>
  </si>
  <si>
    <t>canal_principal</t>
  </si>
  <si>
    <t>opera_marketplaces</t>
  </si>
  <si>
    <t>marketplaces_detalle</t>
  </si>
  <si>
    <t>contacto_cargo</t>
  </si>
  <si>
    <t>contacto_comercial_nombre</t>
  </si>
  <si>
    <t>contacto_comercial_email</t>
  </si>
  <si>
    <t>contacto_tec_nombre</t>
  </si>
  <si>
    <t>contacto_tec_email</t>
  </si>
  <si>
    <t>contacto_ops_nombre</t>
  </si>
  <si>
    <t>contacto_ops_email</t>
  </si>
  <si>
    <t>contacto_admin_nombre</t>
  </si>
  <si>
    <t>contacto_admin_email</t>
  </si>
  <si>
    <t>erp_cual</t>
  </si>
  <si>
    <t>api_alcance</t>
  </si>
  <si>
    <t>metodo_integracion</t>
  </si>
  <si>
    <t>equipo_tec</t>
  </si>
  <si>
    <t>recibe_pedidos_ext</t>
  </si>
  <si>
    <t>informa_estados</t>
  </si>
  <si>
    <t>informa_tracking</t>
  </si>
  <si>
    <t>obs_tecnologia</t>
  </si>
  <si>
    <t>variantes</t>
  </si>
  <si>
    <t>gestion_catalogo</t>
  </si>
  <si>
    <t>catalogo_excel</t>
  </si>
  <si>
    <t>info_prod_completa</t>
  </si>
  <si>
    <t>atributos_tecnicos</t>
  </si>
  <si>
    <t>imagenes</t>
  </si>
  <si>
    <t>imagenes_variante</t>
  </si>
  <si>
    <t>tabla_talles</t>
  </si>
  <si>
    <t>productos_variantes</t>
  </si>
  <si>
    <t>codigos_sku_ean</t>
  </si>
  <si>
    <t>productos_en_sporting</t>
  </si>
  <si>
    <t>restricciones_cat</t>
  </si>
  <si>
    <t>restricciones_cat_det</t>
  </si>
  <si>
    <t>obs_catalogo</t>
  </si>
  <si>
    <t>stock_tipo</t>
  </si>
  <si>
    <t>stock_exclusivo_mkt</t>
  </si>
  <si>
    <t>stock_seguridad</t>
  </si>
  <si>
    <t>stock_minimo_seguridad</t>
  </si>
  <si>
    <t>gestion_stock</t>
  </si>
  <si>
    <t>stock_separado</t>
  </si>
  <si>
    <t>gestion_precios</t>
  </si>
  <si>
    <t>precios_iva</t>
  </si>
  <si>
    <t>precios_canal</t>
  </si>
  <si>
    <t>promos</t>
  </si>
  <si>
    <t>promos_det</t>
  </si>
  <si>
    <t>zonas</t>
  </si>
  <si>
    <t>localidad_despacho</t>
  </si>
  <si>
    <t>despacho_origen</t>
  </si>
  <si>
    <t>multi_operador_logistico</t>
  </si>
  <si>
    <t>dias_despacho</t>
  </si>
  <si>
    <t>tiempo_despacho</t>
  </si>
  <si>
    <t>cumple_sla_despacho</t>
  </si>
  <si>
    <t>tracking</t>
  </si>
  <si>
    <t>impresora</t>
  </si>
  <si>
    <t>etiquetado_requerido</t>
  </si>
  <si>
    <t>retiro_tienda</t>
  </si>
  <si>
    <t>puntos_retiro</t>
  </si>
  <si>
    <t>stock_retiro_tienda</t>
  </si>
  <si>
    <t>retiro_ops</t>
  </si>
  <si>
    <t>obs_logistica</t>
  </si>
  <si>
    <t>acepta_devol</t>
  </si>
  <si>
    <t>log_devol</t>
  </si>
  <si>
    <t>resp_log_inv</t>
  </si>
  <si>
    <t>deposito_devol</t>
  </si>
  <si>
    <t>resp_validacion_devol</t>
  </si>
  <si>
    <t>tiempo_devol</t>
  </si>
  <si>
    <t>restr_devol</t>
  </si>
  <si>
    <t>restr_devol_det</t>
  </si>
  <si>
    <t>nota_credito</t>
  </si>
  <si>
    <t>condiciones_postventa</t>
  </si>
  <si>
    <t>emite_factura</t>
  </si>
  <si>
    <t>factura_auto</t>
  </si>
  <si>
    <t>tipo_factura</t>
  </si>
  <si>
    <t>factura_formato</t>
  </si>
  <si>
    <t>nc_devol</t>
  </si>
  <si>
    <t>ticket_promedio</t>
  </si>
  <si>
    <t>gmv_estimado</t>
  </si>
  <si>
    <t>cuotas</t>
  </si>
  <si>
    <t>comision_mkt</t>
  </si>
  <si>
    <t>costo_financiero</t>
  </si>
  <si>
    <t>restricciones_com</t>
  </si>
  <si>
    <t>restricciones_com_det</t>
  </si>
  <si>
    <t>limitaciones_actuales</t>
  </si>
  <si>
    <t>particularidades</t>
  </si>
  <si>
    <t>Incompleto</t>
  </si>
  <si>
    <t>TIMELINE — Tareas y hitos por seller · Base para el Gantt operativo</t>
  </si>
  <si>
    <t>ID Tarea</t>
  </si>
  <si>
    <t>Seller / Marca</t>
  </si>
  <si>
    <t>Fase</t>
  </si>
  <si>
    <t>Hito</t>
  </si>
  <si>
    <t>Tarea</t>
  </si>
  <si>
    <t>Responsable</t>
  </si>
  <si>
    <t>Depende de</t>
  </si>
  <si>
    <t>Inicio plan</t>
  </si>
  <si>
    <t>Fin plan</t>
  </si>
  <si>
    <t>Inicio real</t>
  </si>
  <si>
    <t>Fin real</t>
  </si>
  <si>
    <t>Estado</t>
  </si>
  <si>
    <t>Atraso (días)</t>
  </si>
  <si>
    <t>Comentario</t>
  </si>
  <si>
    <t>Ver en Gantt</t>
  </si>
  <si>
    <t>SPT-001-T-01</t>
  </si>
  <si>
    <t>Comercial</t>
  </si>
  <si>
    <t>Definición comercial inicial</t>
  </si>
  <si>
    <t>Definir valor de especificación “Seller” en VTEX</t>
  </si>
  <si>
    <t>eCommerce</t>
  </si>
  <si>
    <t>Completado</t>
  </si>
  <si>
    <t>Matriz recibida con datos completos</t>
  </si>
  <si>
    <t>SPT-001-T-02</t>
  </si>
  <si>
    <t>Crear política comercial del seller en VTEX</t>
  </si>
  <si>
    <t>En curso</t>
  </si>
  <si>
    <t>Simulador armado, pendiente revisión</t>
  </si>
  <si>
    <t>SPT-001-T-03</t>
  </si>
  <si>
    <t>Crear condición comercial del seller en VTEX</t>
  </si>
  <si>
    <t>Pendiente</t>
  </si>
  <si>
    <t>A coordinar con IT de Bunker</t>
  </si>
  <si>
    <t>SPT-001-T-04</t>
  </si>
  <si>
    <t>Asociar condiciones de pago a la condición comercial</t>
  </si>
  <si>
    <t>No</t>
  </si>
  <si>
    <t>SPT-001-T-05</t>
  </si>
  <si>
    <t>Definición legal e informativa</t>
  </si>
  <si>
    <t>Publicar términos y condiciones del seller en landings informativas del footer</t>
  </si>
  <si>
    <t>SPT-001-T-06</t>
  </si>
  <si>
    <t>Operativa</t>
  </si>
  <si>
    <t>Configuración administrativa</t>
  </si>
  <si>
    <t>Gestionar número de comercio específico del seller</t>
  </si>
  <si>
    <t>Administración</t>
  </si>
  <si>
    <t>SPT-001-T-07</t>
  </si>
  <si>
    <t>Configurar comprobante del seller en BAS</t>
  </si>
  <si>
    <t>Jorge PIM</t>
  </si>
  <si>
    <t>SPT-001-T-08</t>
  </si>
  <si>
    <t>Técnica</t>
  </si>
  <si>
    <t>Configuración logística VTEX</t>
  </si>
  <si>
    <t>Crear almacén del seller en VTEX</t>
  </si>
  <si>
    <t>SPT-001-T-09</t>
  </si>
  <si>
    <t>Crear muelle del seller en VTEX</t>
  </si>
  <si>
    <t>SPT-001-T-10</t>
  </si>
  <si>
    <t>Crear estrategia de envío del seller en VTEX</t>
  </si>
  <si>
    <t>SPT-001-T-11</t>
  </si>
  <si>
    <t>Configuración base PIM</t>
  </si>
  <si>
    <t>Crear tienda del seller en PIM</t>
  </si>
  <si>
    <t>Agente PIM</t>
  </si>
  <si>
    <t>SPT-001-T-12</t>
  </si>
  <si>
    <t>Crear depósito del seller en PIM</t>
  </si>
  <si>
    <t>SPT-001-T-13</t>
  </si>
  <si>
    <t>Asociar tienda y depósito de PIM al almacén de VTEX</t>
  </si>
  <si>
    <t>SPT-001-T-08 / SPT-001-T-12</t>
  </si>
  <si>
    <t>SPT-001-T-14</t>
  </si>
  <si>
    <t>Configurar carrier del seller en PIM Depósitos</t>
  </si>
  <si>
    <t>SPT-001-T-15</t>
  </si>
  <si>
    <t>Configurar facturación del seller en PIM Depósitos</t>
  </si>
  <si>
    <t>SPT-001-T-16</t>
  </si>
  <si>
    <t>Configuración postventa</t>
  </si>
  <si>
    <t>Configurar condiciones de devolución del seller en el Portal de Gestión de Pedidos (si aplica)</t>
  </si>
  <si>
    <t>eCommerce / PIM</t>
  </si>
  <si>
    <t>SPT-001-T-17</t>
  </si>
  <si>
    <t>Relevamiento de catálogo</t>
  </si>
  <si>
    <t>Compartir planilla de SKUs a crear o catalogar</t>
  </si>
  <si>
    <t>SPT-001-T-18</t>
  </si>
  <si>
    <t>Completar planilla de SKUs a crear o catalogar</t>
  </si>
  <si>
    <t>Seller</t>
  </si>
  <si>
    <t>SPT-001-T-19</t>
  </si>
  <si>
    <t>Alta de catálogo</t>
  </si>
  <si>
    <t>Crear SKUs del seller en PIM</t>
  </si>
  <si>
    <t>SPT-001-T-20</t>
  </si>
  <si>
    <t>Catalogar productos del seller en PIM</t>
  </si>
  <si>
    <t>SPT-001-T-21</t>
  </si>
  <si>
    <t>Carga comercial inicial</t>
  </si>
  <si>
    <t>Compartir archivo de carga de precio y stock</t>
  </si>
  <si>
    <t>SPT-001-T-22</t>
  </si>
  <si>
    <t>Completar archivo inicial de precio y stock</t>
  </si>
  <si>
    <t>SPT-001-T-23</t>
  </si>
  <si>
    <t>Cargar precio y stock inicial en VTEX</t>
  </si>
  <si>
    <t>SPT-001-T-24</t>
  </si>
  <si>
    <t>Ajustes storefront</t>
  </si>
  <si>
    <t>Personalizar grilla de productos del seller</t>
  </si>
  <si>
    <t>SPT-001-T-25</t>
  </si>
  <si>
    <t>Implementar información diferencial del seller en PDP, mini cart y checkout</t>
  </si>
  <si>
    <t>InfraCommerce</t>
  </si>
  <si>
    <t>SPT-001-T-26</t>
  </si>
  <si>
    <t>Configurar templates y datos del seller en mails transaccionales</t>
  </si>
  <si>
    <t>SPT-001-T-27</t>
  </si>
  <si>
    <t>Reglas operativas</t>
  </si>
  <si>
    <t>Implementar restricción de carrito compartido</t>
  </si>
  <si>
    <t>SPT-001-T-28</t>
  </si>
  <si>
    <t>Cierre</t>
  </si>
  <si>
    <t>Validación final</t>
  </si>
  <si>
    <t>Validar configuración integral del seller en VTEX, PIM y front</t>
  </si>
  <si>
    <t>SPT-001-T-10 / SPT-001-T-14 / SPT-001-T-15 / SPT-001-T-20 / SPT-001-T-23 / SPT-001-T-25 / SPT-001-T-26 / SPT-001-T-27</t>
  </si>
  <si>
    <t>SPT-001-T-29</t>
  </si>
  <si>
    <t>Aprobar checklist previo a salida operativa</t>
  </si>
  <si>
    <t>SPT-002-T-01</t>
  </si>
  <si>
    <t>SPT-002-T-02</t>
  </si>
  <si>
    <t>SPT-002-T-03</t>
  </si>
  <si>
    <t>SPT-002-T-04</t>
  </si>
  <si>
    <t>SPT-002-T-05</t>
  </si>
  <si>
    <t>SPT-002-T-06</t>
  </si>
  <si>
    <t>SPT-002-T-07</t>
  </si>
  <si>
    <t>SPT-002-T-08</t>
  </si>
  <si>
    <t>SPT-002-T-09</t>
  </si>
  <si>
    <t>SPT-002-T-10</t>
  </si>
  <si>
    <t>SPT-002-T-11</t>
  </si>
  <si>
    <t>SPT-002-T-12</t>
  </si>
  <si>
    <t>SPT-002-T-13</t>
  </si>
  <si>
    <t>SPT-002-T-08 / SPT-002-T-12</t>
  </si>
  <si>
    <t>SPT-002-T-14</t>
  </si>
  <si>
    <t>SPT-002-T-15</t>
  </si>
  <si>
    <t>SPT-002-T-16</t>
  </si>
  <si>
    <t>SPT-002-T-17</t>
  </si>
  <si>
    <t>SPT-002-T-18</t>
  </si>
  <si>
    <t>SPT-002-T-19</t>
  </si>
  <si>
    <t>SPT-002-T-20</t>
  </si>
  <si>
    <t>SPT-002-T-21</t>
  </si>
  <si>
    <t>SPT-002-T-22</t>
  </si>
  <si>
    <t>SPT-002-T-23</t>
  </si>
  <si>
    <t>SPT-002-T-24</t>
  </si>
  <si>
    <t>SPT-002-T-25</t>
  </si>
  <si>
    <t>SPT-002-T-26</t>
  </si>
  <si>
    <t>SPT-002-T-27</t>
  </si>
  <si>
    <t>SPT-002-T-28</t>
  </si>
  <si>
    <t>SPT-002-T-10 / SPT-002-T-14 / SPT-002-T-15 / SPT-002-T-20 / SPT-002-T-23 / SPT-002-T-25 / SPT-002-T-26 / SPT-002-T-27</t>
  </si>
  <si>
    <t>SPT-002-T-29</t>
  </si>
  <si>
    <t>ℹ  Instrucciones: Agregá una fila por tarea. Usá seller_id exacto de la hoja sellers. Las columnas "Inicio real" y "Fin real" se completan cuando la tarea arranca/termina. La columna "Atraso" es automática. Para agregar un seller nuevo, copiá el bloque de ejemplo y reemplazá el seller_id.</t>
  </si>
  <si>
    <t>PIPELINE — Definición de caminos, etapas y criterios de avance · No modificar sin alinear con el equipo</t>
  </si>
  <si>
    <t>camino</t>
  </si>
  <si>
    <t>etapa_id</t>
  </si>
  <si>
    <t>Nombre etapa</t>
  </si>
  <si>
    <t>Orden</t>
  </si>
  <si>
    <t>Descripción</t>
  </si>
  <si>
    <t>Criterio de avance</t>
  </si>
  <si>
    <t>rapida_activacion</t>
  </si>
  <si>
    <t>C1-E1</t>
  </si>
  <si>
    <t>Contacto inicial</t>
  </si>
  <si>
    <t>Primer contacto comercial</t>
  </si>
  <si>
    <t>Contacto confirmado por el seller</t>
  </si>
  <si>
    <t>C1-E2</t>
  </si>
  <si>
    <t>Relevamiento</t>
  </si>
  <si>
    <t>Envío y recepción del formulario</t>
  </si>
  <si>
    <t>Formulario completado y recibido</t>
  </si>
  <si>
    <t>C1-E3</t>
  </si>
  <si>
    <t>Análisis y propuesta</t>
  </si>
  <si>
    <t>Análisis interno + propuesta econ.</t>
  </si>
  <si>
    <t>Propuesta enviada y aceptada</t>
  </si>
  <si>
    <t>C1-E4</t>
  </si>
  <si>
    <t>Acuerdo operacional</t>
  </si>
  <si>
    <t>Definición de flujos y firma</t>
  </si>
  <si>
    <t>Contrato firmado y condiciones acordadas</t>
  </si>
  <si>
    <t>Comercial + Legal</t>
  </si>
  <si>
    <t>C1-E5</t>
  </si>
  <si>
    <t>Onboarding</t>
  </si>
  <si>
    <t>Alta en plataforma + catálogo</t>
  </si>
  <si>
    <t>Catálogo activo y pedido de prueba exitoso</t>
  </si>
  <si>
    <t>Técnico</t>
  </si>
  <si>
    <t>C1-E6</t>
  </si>
  <si>
    <t>Go-Live</t>
  </si>
  <si>
    <t>Activación en producción</t>
  </si>
  <si>
    <t>Primera venta real registrada</t>
  </si>
  <si>
    <t>integracion_vtex</t>
  </si>
  <si>
    <t>C2-E1</t>
  </si>
  <si>
    <t>Contacto confirmado</t>
  </si>
  <si>
    <t>C2-E2</t>
  </si>
  <si>
    <t>Formulario + relevamiento VTEX</t>
  </si>
  <si>
    <t>Formulario recibido + acceso VTEX confirmado</t>
  </si>
  <si>
    <t>Comercial + Técnico</t>
  </si>
  <si>
    <t>C2-E3</t>
  </si>
  <si>
    <t>Evaluación técnica</t>
  </si>
  <si>
    <t>Revisión de entorno VTEX</t>
  </si>
  <si>
    <t>Entorno validado y compatible</t>
  </si>
  <si>
    <t>C2-E4</t>
  </si>
  <si>
    <t>Propuesta</t>
  </si>
  <si>
    <t>Propuesta económica personalizada</t>
  </si>
  <si>
    <t>Propuesta aceptada</t>
  </si>
  <si>
    <t>C2-E5</t>
  </si>
  <si>
    <t>Acuerdo</t>
  </si>
  <si>
    <t>Firma del contrato de adhesión</t>
  </si>
  <si>
    <t>Contrato firmado</t>
  </si>
  <si>
    <t>C2-E6</t>
  </si>
  <si>
    <t>Integración técnica</t>
  </si>
  <si>
    <t>Desarrollo e integración VTEX</t>
  </si>
  <si>
    <t>Integración funcionando en staging</t>
  </si>
  <si>
    <t>C2-E7</t>
  </si>
  <si>
    <t>seller_center</t>
  </si>
  <si>
    <t>C3-E1</t>
  </si>
  <si>
    <t>Contacto y análisis estratégico</t>
  </si>
  <si>
    <t>Perfil aprobado para Seller Center</t>
  </si>
  <si>
    <t>C3-E2</t>
  </si>
  <si>
    <t>Pendiente readiness</t>
  </si>
  <si>
    <t>Espera habilitación Seller Center</t>
  </si>
  <si>
    <t>Seller Center operativo y listo</t>
  </si>
  <si>
    <t>C3-E3</t>
  </si>
  <si>
    <t>Formulario + relevamiento comercial</t>
  </si>
  <si>
    <t>Relevamiento recibido y analizado</t>
  </si>
  <si>
    <t>C3-E4</t>
  </si>
  <si>
    <t>Propuesta estratégica</t>
  </si>
  <si>
    <t>Propuesta a medida premium</t>
  </si>
  <si>
    <t>C3-E5</t>
  </si>
  <si>
    <t>Firma del contrato premium</t>
  </si>
  <si>
    <t>C3-E6</t>
  </si>
  <si>
    <t>Onboarding premium</t>
  </si>
  <si>
    <t>Integración full + setup estrat.</t>
  </si>
  <si>
    <t>Seller operativo en Seller Center</t>
  </si>
  <si>
    <t>C3-E7</t>
  </si>
  <si>
    <t>TARIFAS — Actualizar antes de cada propuesta · Editable solo por equipo comercial · v2.0</t>
  </si>
  <si>
    <t>campo</t>
  </si>
  <si>
    <t>Valor vigente</t>
  </si>
  <si>
    <t>Unidad</t>
  </si>
  <si>
    <t>Nota</t>
  </si>
  <si>
    <t>— COMISIÓN —</t>
  </si>
  <si>
    <t>comision_pct</t>
  </si>
  <si>
    <t>% GMV</t>
  </si>
  <si>
    <t>Comisión estándar sobre ventas del seller</t>
  </si>
  <si>
    <t>Ajustar por seller en hoja overrides</t>
  </si>
  <si>
    <t>— FINANCIACIÓN EN CUOTAS —</t>
  </si>
  <si>
    <t>c1_pct</t>
  </si>
  <si>
    <t>Contado — sin cargo financiero</t>
  </si>
  <si>
    <t>No modificar — siempre 0</t>
  </si>
  <si>
    <t>c3_pct</t>
  </si>
  <si>
    <t>Costo financiero a 3 cuotas</t>
  </si>
  <si>
    <t>Actualizar según acuerdo banco/fintech</t>
  </si>
  <si>
    <t>c6_pct</t>
  </si>
  <si>
    <t>Costo financiero a 6 cuotas</t>
  </si>
  <si>
    <t>Actualizar según acuerdo</t>
  </si>
  <si>
    <t>c12_pct</t>
  </si>
  <si>
    <t>Costo financiero a 12 cuotas</t>
  </si>
  <si>
    <t>— MIX HISTÓRICO DE CUOTAS —</t>
  </si>
  <si>
    <t>mix_c1</t>
  </si>
  <si>
    <t>% total ventas</t>
  </si>
  <si>
    <t>Participación histórica de ventas a 1 cuota</t>
  </si>
  <si>
    <t>Debe sumar 100% con los demás</t>
  </si>
  <si>
    <t>mix_c3</t>
  </si>
  <si>
    <t>Participación histórica de ventas a 3 cuotas</t>
  </si>
  <si>
    <t>mix_c6</t>
  </si>
  <si>
    <t>Participación histórica de ventas a 6 cuotas</t>
  </si>
  <si>
    <t>mix_c12</t>
  </si>
  <si>
    <t>Participación histórica de ventas a 12 cuotas</t>
  </si>
  <si>
    <t>— TARIFAS DE SERVICIOS OPERATIVOS —</t>
  </si>
  <si>
    <t>t_logistica_dir</t>
  </si>
  <si>
    <t>ARS / envío</t>
  </si>
  <si>
    <t>Tarifa carrier entrega al comprador</t>
  </si>
  <si>
    <t>Actualizar con tarifa vigente del carrier</t>
  </si>
  <si>
    <t>t_logistica_inv</t>
  </si>
  <si>
    <t>ARS / devolución</t>
  </si>
  <si>
    <t>Tarifa carrier retiro de devolución</t>
  </si>
  <si>
    <t>t_catalogacion</t>
  </si>
  <si>
    <t>ARS / SKU</t>
  </si>
  <si>
    <t>Alta de productos en catálogo</t>
  </si>
  <si>
    <t>Revisar trimestralmente</t>
  </si>
  <si>
    <t>t_fulfillment</t>
  </si>
  <si>
    <t>ARS / pedido</t>
  </si>
  <si>
    <t>Picking, packing y despacho</t>
  </si>
  <si>
    <t>t_gestion_devol</t>
  </si>
  <si>
    <t>Procesamiento de cada devolución</t>
  </si>
  <si>
    <t>t_soporte</t>
  </si>
  <si>
    <t>ARS / mes</t>
  </si>
  <si>
    <t>Fee mensual de soporte y onboarding</t>
  </si>
  <si>
    <t>0 si bonificado para este seller</t>
  </si>
  <si>
    <t>t_almacenamiento</t>
  </si>
  <si>
    <t>ARS / pos-día</t>
  </si>
  <si>
    <t>Costo de almacenamiento en depósito</t>
  </si>
  <si>
    <t>Completar si aplica</t>
  </si>
  <si>
    <t>— PARÁMETROS OPERATIVOS —</t>
  </si>
  <si>
    <t>dias_habiles</t>
  </si>
  <si>
    <t>días / mes</t>
  </si>
  <si>
    <t>Base para calcular productividad de agentes</t>
  </si>
  <si>
    <t>No modificar</t>
  </si>
  <si>
    <t>dias_calendario</t>
  </si>
  <si>
    <t>Base para cálculo de almacenamiento</t>
  </si>
  <si>
    <t>capacidad_deposito</t>
  </si>
  <si>
    <t>posiciones</t>
  </si>
  <si>
    <t>Capacidad total del depósito</t>
  </si>
  <si>
    <t>devol_pct_default</t>
  </si>
  <si>
    <t>%</t>
  </si>
  <si>
    <t>Tasa de devoluciones por defecto</t>
  </si>
  <si>
    <t>Referencia — ajustar por seller en hoja sellers</t>
  </si>
  <si>
    <t>OVERRIDES — Condiciones comerciales específicas por seller · Vacío = usa tarifa base estándar</t>
  </si>
  <si>
    <t>⚠  Dejá la celda VACÍA para usar la tarifa base. Bonificaciones: 0 = sin bonificación · 50 = 50% descuento · 100 = bonificado completo. Comisión override: ingresá el % exacto (ej: 5.5 para 5,5%).</t>
  </si>
  <si>
    <t>Comisión override %</t>
  </si>
  <si>
    <t>Bon. logíst. dir. %</t>
  </si>
  <si>
    <t>Bon. logíst. inv. %</t>
  </si>
  <si>
    <t>Bon. catalogación %</t>
  </si>
  <si>
    <t>Bon. fulfillment %</t>
  </si>
  <si>
    <t>Bon. gest. devol. %</t>
  </si>
  <si>
    <t>Bon. soporte %</t>
  </si>
  <si>
    <t>Cuotas máx. override</t>
  </si>
  <si>
    <t>Notas comerciales</t>
  </si>
  <si>
    <t>Stanley</t>
  </si>
  <si>
    <t>Asics (Grupo Dass)</t>
  </si>
  <si>
    <t>CONFIG — Parámetros globales · No modificar sin coordinación con el equipo · v2.0</t>
  </si>
  <si>
    <t>Parámetro</t>
  </si>
  <si>
    <t>Valor</t>
  </si>
  <si>
    <t>Notas / Referencia</t>
  </si>
  <si>
    <t>— VERSIÓN Y CONTROL —</t>
  </si>
  <si>
    <t>version</t>
  </si>
  <si>
    <t>2.0</t>
  </si>
  <si>
    <t>Versión del Sheet base</t>
  </si>
  <si>
    <t>Incrementar con cambios estructurales</t>
  </si>
  <si>
    <t>fecha_actualizacion</t>
  </si>
  <si>
    <t>Abril 2026</t>
  </si>
  <si>
    <t>Última actualización</t>
  </si>
  <si>
    <t>Actualizar al modificar tarifas o estructura</t>
  </si>
  <si>
    <t>Equipo eCommerce</t>
  </si>
  <si>
    <t>Equipo responsable del mantenimiento</t>
  </si>
  <si>
    <t>— HOJAS Y QUÉ LEE CADA MÓDULO HTML —</t>
  </si>
  <si>
    <t>modulo_backlog</t>
  </si>
  <si>
    <t>Backlog HTML</t>
  </si>
  <si>
    <t>Lee hoja: sellers + pipeline</t>
  </si>
  <si>
    <t>Vista comercial · kanban y tabla de sellers</t>
  </si>
  <si>
    <t>modulo_gantt</t>
  </si>
  <si>
    <t>Gantt HTML</t>
  </si>
  <si>
    <t>Lee hoja: sellers + timeline</t>
  </si>
  <si>
    <t>Vista operativa · Gantt y seguimiento</t>
  </si>
  <si>
    <t>modulo_sim_externo</t>
  </si>
  <si>
    <t>Simulador Externo HTML</t>
  </si>
  <si>
    <t>Lee hoja: sellers + tarifas + overrides</t>
  </si>
  <si>
    <t>Para el seller · sin tarifas visibles</t>
  </si>
  <si>
    <t>modulo_sim_interno</t>
  </si>
  <si>
    <t>Simulador Interno HTML</t>
  </si>
  <si>
    <t>Lee todas las hojas</t>
  </si>
  <si>
    <t>Para el equipo · con costos y márgenes</t>
  </si>
  <si>
    <t>modulo_presentacion</t>
  </si>
  <si>
    <t>Presentación HTML</t>
  </si>
  <si>
    <t>Lee hoja: sellers (por seller_id)</t>
  </si>
  <si>
    <t>Presentación ejecutiva personalizada</t>
  </si>
  <si>
    <t>— CAMINOS DE INTEGRACIÓN —</t>
  </si>
  <si>
    <t>camino_1_id</t>
  </si>
  <si>
    <t>Sellers con sistemas propios, bajo esfuerzo</t>
  </si>
  <si>
    <t>Q2 · Mayo/Junio 2026</t>
  </si>
  <si>
    <t>camino_1_label</t>
  </si>
  <si>
    <t>Rápida activación</t>
  </si>
  <si>
    <t>Etiqueta visible en los HTMLs</t>
  </si>
  <si>
    <t>camino_1_timeline</t>
  </si>
  <si>
    <t>Q2 · May-Jun 2026</t>
  </si>
  <si>
    <t>Timeline objetivo de go-live</t>
  </si>
  <si>
    <t>camino_2_id</t>
  </si>
  <si>
    <t>Sellers que ya operan en VTEX</t>
  </si>
  <si>
    <t>Q3/Q4 2026</t>
  </si>
  <si>
    <t>camino_2_label</t>
  </si>
  <si>
    <t>Integración VTEX</t>
  </si>
  <si>
    <t>camino_2_timeline</t>
  </si>
  <si>
    <t>camino_3_id</t>
  </si>
  <si>
    <t>Sellers estratégicos premium</t>
  </si>
  <si>
    <t>Q4 2026 / Q1 2027</t>
  </si>
  <si>
    <t>camino_3_label</t>
  </si>
  <si>
    <t>Seller Center</t>
  </si>
  <si>
    <t>camino_3_timeline</t>
  </si>
  <si>
    <t>Q4 2026 – Q1 2027</t>
  </si>
  <si>
    <t>Depende del readiness del Seller Center</t>
  </si>
  <si>
    <t>— ESTADOS VÁLIDOS (estado_macro en hoja sellers) —</t>
  </si>
  <si>
    <t>estado_01</t>
  </si>
  <si>
    <t>Identificado</t>
  </si>
  <si>
    <t>Seller identificado, aún sin contacto</t>
  </si>
  <si>
    <t>estado_02</t>
  </si>
  <si>
    <t>Contactado</t>
  </si>
  <si>
    <t>Contacto inicial realizado</t>
  </si>
  <si>
    <t>estado_03</t>
  </si>
  <si>
    <t>Relevamiento enviado</t>
  </si>
  <si>
    <t>Formulario enviado al seller</t>
  </si>
  <si>
    <t>estado_04</t>
  </si>
  <si>
    <t>Relevamiento recibido</t>
  </si>
  <si>
    <t>estado_05</t>
  </si>
  <si>
    <t>Propuesta enviada</t>
  </si>
  <si>
    <t>Propuesta económica enviada</t>
  </si>
  <si>
    <t>estado_06</t>
  </si>
  <si>
    <t>Seller aceptó las condiciones</t>
  </si>
  <si>
    <t>estado_07</t>
  </si>
  <si>
    <t>Contrato de adhesión firmado</t>
  </si>
  <si>
    <t>estado_08</t>
  </si>
  <si>
    <t>En proceso de integración técnica</t>
  </si>
  <si>
    <t>estado_09</t>
  </si>
  <si>
    <t>Operativo y vendiendo</t>
  </si>
  <si>
    <t>estado_10</t>
  </si>
  <si>
    <t>Pausado</t>
  </si>
  <si>
    <t>Negociación o proceso en pausa</t>
  </si>
  <si>
    <t>Usar con riesgo_nivel = Alto</t>
  </si>
  <si>
    <t>estado_11</t>
  </si>
  <si>
    <t>Descartado</t>
  </si>
  <si>
    <t>No avanza · marcar activo = No</t>
  </si>
  <si>
    <t>— ESTADOS VÁLIDOS (estado_tarea en hoja timeline) —</t>
  </si>
  <si>
    <t>tarea_01</t>
  </si>
  <si>
    <t>Tarea aún no iniciada</t>
  </si>
  <si>
    <t>tarea_02</t>
  </si>
  <si>
    <t>Tarea en ejecución</t>
  </si>
  <si>
    <t>tarea_03</t>
  </si>
  <si>
    <t>Tarea finalizada</t>
  </si>
  <si>
    <t>tarea_04</t>
  </si>
  <si>
    <t>Bloqueado</t>
  </si>
  <si>
    <t>Tarea bloqueada — completar bloqueo_resumen</t>
  </si>
  <si>
    <t>tarea_05</t>
  </si>
  <si>
    <t>Cancelado</t>
  </si>
  <si>
    <t>Tarea cancelada — no aplica más</t>
  </si>
  <si>
    <t>— NIVELES DE RIESGO —</t>
  </si>
  <si>
    <t>riesgo_alto</t>
  </si>
  <si>
    <t>Alto</t>
  </si>
  <si>
    <t>Requiere atención inmediata</t>
  </si>
  <si>
    <t>Escalar al responsable del equipo</t>
  </si>
  <si>
    <t>riesgo_medio</t>
  </si>
  <si>
    <t>Monitorear activamente</t>
  </si>
  <si>
    <t>riesgo_bajo</t>
  </si>
  <si>
    <t>Bajo</t>
  </si>
  <si>
    <t>Sin riesgo identificado</t>
  </si>
  <si>
    <t>riesgo_sin</t>
  </si>
  <si>
    <t>Sin riesgo</t>
  </si>
  <si>
    <t>Proceso sin fricciones</t>
  </si>
  <si>
    <t>— PARÁMETROS DE PUBLICACIÓN CSV (Google Sheets) —</t>
  </si>
  <si>
    <t>csv_sellers</t>
  </si>
  <si>
    <t>https://docs.google.com/spreadsheets/d/e/2PACX-1vTwd-qIMhoH1poJpaTZqN-7O5IGAfPDTxslBAX8LCPogTkwheW2vWsq59JkvvYakM8ndCKgUQualQyi/pub?gid=899415596&amp;single=true&amp;output=csv</t>
  </si>
  <si>
    <t>URL CSV de la hoja sellers</t>
  </si>
  <si>
    <t>Reemplazar GID con el ID real de la hoja</t>
  </si>
  <si>
    <t>csv_timeline</t>
  </si>
  <si>
    <t>https://docs.google.com/spreadsheets/d/e/2PACX-1vTwd-qIMhoH1poJpaTZqN-7O5IGAfPDTxslBAX8LCPogTkwheW2vWsq59JkvvYakM8ndCKgUQualQyi/pub?gid=1623881837&amp;single=true&amp;output=csv</t>
  </si>
  <si>
    <t>URL CSV de la hoja timeline</t>
  </si>
  <si>
    <t>csv_tarifas</t>
  </si>
  <si>
    <t>https://docs.google.com/spreadsheets/d/e/2PACX-1vTwd-qIMhoH1poJpaTZqN-7O5IGAfPDTxslBAX8LCPogTkwheW2vWsq59JkvvYakM8ndCKgUQualQyi/pub?gid=42870561&amp;single=true&amp;output=csv</t>
  </si>
  <si>
    <t>URL CSV de la hoja tarifas</t>
  </si>
  <si>
    <t>csv_overrides</t>
  </si>
  <si>
    <t>https://docs.google.com/spreadsheets/d/e/2PACX-1vTwd-qIMhoH1poJpaTZqN-7O5IGAfPDTxslBAX8LCPogTkwheW2vWsq59JkvvYakM8ndCKgUQualQyi/pub?gid=649807159&amp;single=true&amp;output=csv</t>
  </si>
  <si>
    <t>URL CSV de la hoja overrides</t>
  </si>
  <si>
    <t>csv_config</t>
  </si>
  <si>
    <t>https://docs.google.com/spreadsheets/d/e/2PACX-1vTwd-qIMhoH1poJpaTZqN-7O5IGAfPDTxslBAX8LCPogTkwheW2vWsq59JkvvYakM8ndCKgUQualQyi/pub?gid=1925619599&amp;single=true&amp;output=csv</t>
  </si>
  <si>
    <t>ID</t>
  </si>
  <si>
    <t>Modulo</t>
  </si>
  <si>
    <t>Descripcion</t>
  </si>
  <si>
    <t>Modalidad</t>
  </si>
  <si>
    <t>Tipo</t>
  </si>
  <si>
    <t>Subtipo</t>
  </si>
  <si>
    <t>Prioridad</t>
  </si>
  <si>
    <t>Fecha Inicio</t>
  </si>
  <si>
    <t>Fecha Fin</t>
  </si>
  <si>
    <t>Dependencia</t>
  </si>
  <si>
    <t>Observaciones</t>
  </si>
  <si>
    <t>% Avance</t>
  </si>
  <si>
    <t>Link Jira</t>
  </si>
  <si>
    <t>Link GitLab</t>
  </si>
  <si>
    <t>Fecha Ultima Actualizacion</t>
  </si>
  <si>
    <t>SC-ART-01</t>
  </si>
  <si>
    <t>Artículos Seller</t>
  </si>
  <si>
    <t>Crear estructura base para productos y SKUs Seller en PIM</t>
  </si>
  <si>
    <t>Habilitar en BD el registro de productos padre y SKUs de origen Seller, con unicidad por seller y estructura mínima para Catalogación y Publicación</t>
  </si>
  <si>
    <t>Sistema</t>
  </si>
  <si>
    <t>Marcelo</t>
  </si>
  <si>
    <t>Data Model</t>
  </si>
  <si>
    <t>Modelo de datos</t>
  </si>
  <si>
    <t>No incluye UI, carga masiva, API, publicación incremental, desactivación de SKUs en VTEX ni bandejas de rechazos técnicos.</t>
  </si>
  <si>
    <t>https://productos-web-2022.atlassian.net/browse/GDPW-1852</t>
  </si>
  <si>
    <t>https://git.gcp.luquinsa.com.ar/luquin/issues/-/issues/961</t>
  </si>
  <si>
    <t>SC-ART-02</t>
  </si>
  <si>
    <t>Implementar validaciones y reglas de unicidad para productos y SKUs Seller</t>
  </si>
  <si>
    <t>Implementar validaciones, unicidad multi-seller, normalización y reglas de talle basadas en catálogo</t>
  </si>
  <si>
    <t>Backend</t>
  </si>
  <si>
    <t>Validaciones</t>
  </si>
  <si>
    <t>Planificado</t>
  </si>
  <si>
    <t>SC-ART-01, SC-ART-09</t>
  </si>
  <si>
    <t>cod_color como identificador técnico (3 caracteres). Validación de talle contra catálogo</t>
  </si>
  <si>
    <t>https://productos-web-2022.atlassian.net/browse/GDPW-1853</t>
  </si>
  <si>
    <t>https://git.gcp.luquinsa.com.ar/luquin/issues/-/issues/982</t>
  </si>
  <si>
    <t>SC-ART-09</t>
  </si>
  <si>
    <t>Crear catálogo de talles permitidos en PIM</t>
  </si>
  <si>
    <t>Implementar el catálogo de talles permitido para validar SKUs Seller y evitar valores libres</t>
  </si>
  <si>
    <t>Debe incluir el valor “Único” y ser consumido por SC-ART-02</t>
  </si>
  <si>
    <t>https://productos-web-2022.atlassian.net/browse/GDPW-1854</t>
  </si>
  <si>
    <t>https://git.gcp.luquinsa.com.ar/luquin/issues/-/issues/983</t>
  </si>
  <si>
    <t>SC-ART-03</t>
  </si>
  <si>
    <t>Implementar estados del artículo Seller</t>
  </si>
  <si>
    <t>Definir estados de producto y SKU para controlar la validez estructural previo a catalogación</t>
  </si>
  <si>
    <t>Estados</t>
  </si>
  <si>
    <t>SC-ART-01, SC-ART-02</t>
  </si>
  <si>
    <t>Estados solo hasta pre-catalogación</t>
  </si>
  <si>
    <t>https://productos-web-2022.atlassian.net/browse/GDPW-1855</t>
  </si>
  <si>
    <t>https://git.gcp.luquinsa.com.ar/luquin/issues/-/issues/984</t>
  </si>
  <si>
    <t>SC-ART-04</t>
  </si>
  <si>
    <t>Implementar logs y trazabilidad de productos y SKUs Seller</t>
  </si>
  <si>
    <t>Registrar eventos estructurados de creación, validación y cambios de estado incluyendo origen, resultado y tipo de error</t>
  </si>
  <si>
    <t>Logs</t>
  </si>
  <si>
    <t>SC-ART-01, SC-ART-02, SC-ART-03</t>
  </si>
  <si>
    <t>Logging estructurado con correlación de eventos</t>
  </si>
  <si>
    <t>https://productos-web-2022.atlassian.net/browse/GDPW-1856</t>
  </si>
  <si>
    <t>https://git.gcp.luquinsa.com.ar/luquin/issues/-/issues/985</t>
  </si>
  <si>
    <t>SC-ART-05</t>
  </si>
  <si>
    <t>Crear productos y SKUs Seller manualmente desde PIM Frontend</t>
  </si>
  <si>
    <t>Implementar la creación manual de productos Seller desde la bandeja Pendientes, con visualización según tipo de usuario</t>
  </si>
  <si>
    <t>Manual</t>
  </si>
  <si>
    <t>Mauricio</t>
  </si>
  <si>
    <t>Frontend</t>
  </si>
  <si>
    <t>UI</t>
  </si>
  <si>
    <t>SC-ART-01, SC-ART-02, SC-ART-03, SC-ART-04, SC-ART-09</t>
  </si>
  <si>
    <t>Entrada desde módulo Productos Marketplace - Pendientes</t>
  </si>
  <si>
    <t>https://productos-web-2022.atlassian.net/browse/GDPW-1857</t>
  </si>
  <si>
    <t>https://git.gcp.luquinsa.com.ar/luquin/issues/-/issues/986</t>
  </si>
  <si>
    <t>SC-ART-06</t>
  </si>
  <si>
    <t>Implementar carga masiva de productos y SKUs Seller mediante archivo</t>
  </si>
  <si>
    <t>Permitir la creación masiva de productos Seller mediante archivo (CSV/XLSX), con validación estructural, procesamiento por lote, manejo de errores y visualización en bandeja Pendientes</t>
  </si>
  <si>
    <t>Masivo</t>
  </si>
  <si>
    <t>Frontend, Backend</t>
  </si>
  <si>
    <t>Carga masiva</t>
  </si>
  <si>
    <t>Procesamiento parcial por fila con batch_id</t>
  </si>
  <si>
    <t>https://productos-web-2022.atlassian.net/browse/GDPW-1858</t>
  </si>
  <si>
    <t>https://git.gcp.luquinsa.com.ar/luquin/issues/-/issues/988</t>
  </si>
  <si>
    <t>SC-ART-07</t>
  </si>
  <si>
    <t>Implementar API de creación de productos y SKUs Seller</t>
  </si>
  <si>
    <t>Permitir la creación de productos y SKUs Seller vía API, reutilizando estructura, validaciones, estados y logs del módulo Artículos Seller</t>
  </si>
  <si>
    <t>API</t>
  </si>
  <si>
    <t>Endpoint</t>
  </si>
  <si>
    <t>Endpoint para integración externa de sellers con sistemas propios</t>
  </si>
  <si>
    <t>https://productos-web-2022.atlassian.net/browse/GDPW-1859</t>
  </si>
  <si>
    <t>https://git.gcp.luquinsa.com.ar/luquin/issues/-/issues/989</t>
  </si>
  <si>
    <t>CAT-01</t>
  </si>
  <si>
    <t>Catalogación y Publicación</t>
  </si>
  <si>
    <t>Definir estructura de catálogo</t>
  </si>
  <si>
    <t>Definir campos, atributos y reglas de publicación para seller</t>
  </si>
  <si>
    <t>CAT-02</t>
  </si>
  <si>
    <t>Catalogación manual</t>
  </si>
  <si>
    <t>Habilitar carga producto a producto desde PIM Frontend</t>
  </si>
  <si>
    <t>CAT-03</t>
  </si>
  <si>
    <t>Catalogación masiva</t>
  </si>
  <si>
    <t>Implementar carga masiva de datos de catálogo por planilla</t>
  </si>
  <si>
    <t>CAT-04</t>
  </si>
  <si>
    <t>API catálogo</t>
  </si>
  <si>
    <t>Sincronizar información de catálogo desde sistemas del seller</t>
  </si>
  <si>
    <t>STK-01</t>
  </si>
  <si>
    <t>Stock</t>
  </si>
  <si>
    <t>Definir lógica de stock</t>
  </si>
  <si>
    <t>Definir reglas de stock, stock de seguridad y actualización</t>
  </si>
  <si>
    <t>STK-02</t>
  </si>
  <si>
    <t>Actualización manual de stock</t>
  </si>
  <si>
    <t>Permitir actualización manual de stock por seller o equipo interno</t>
  </si>
  <si>
    <t>STK-03</t>
  </si>
  <si>
    <t>Carga masiva de stock</t>
  </si>
  <si>
    <t>Implementar template de carga masiva de stock</t>
  </si>
  <si>
    <t>STK-04</t>
  </si>
  <si>
    <t>API stock tiempo real</t>
  </si>
  <si>
    <t>Actualizar stock automáticamente desde sistemas del seller</t>
  </si>
  <si>
    <t>Validar tratamiento de último stock y reservas</t>
  </si>
  <si>
    <t>PRC-01</t>
  </si>
  <si>
    <t>Precio</t>
  </si>
  <si>
    <t>Definir lógica de precios</t>
  </si>
  <si>
    <t>Definir reglas comerciales y formato de actualización de precios</t>
  </si>
  <si>
    <t>PRC-02</t>
  </si>
  <si>
    <t>Carga manual de precios</t>
  </si>
  <si>
    <t>Permitir actualización manual de precios por SKU</t>
  </si>
  <si>
    <t>PRC-03</t>
  </si>
  <si>
    <t>Carga masiva de precios</t>
  </si>
  <si>
    <t>Implementar template de precios por SKU</t>
  </si>
  <si>
    <t>PRC-04</t>
  </si>
  <si>
    <t>API precios</t>
  </si>
  <si>
    <t>Actualizar precios automáticamente desde sistemas del seller</t>
  </si>
  <si>
    <t>PED-01</t>
  </si>
  <si>
    <t>Pedidos</t>
  </si>
  <si>
    <t>Configurar flujo de pedidos</t>
  </si>
  <si>
    <t>Definir flujo OMS para seller y asignación a depósito</t>
  </si>
  <si>
    <t>PED-02</t>
  </si>
  <si>
    <t>Operación manual de pedidos</t>
  </si>
  <si>
    <t>Gestionar pedidos del seller desde PIM Depósitos</t>
  </si>
  <si>
    <t>PED-03</t>
  </si>
  <si>
    <t>Seguimiento de pedidos</t>
  </si>
  <si>
    <t>Implementar seguimiento operativo por planilla o tablero</t>
  </si>
  <si>
    <t>PED-04</t>
  </si>
  <si>
    <t>API pedidos</t>
  </si>
  <si>
    <t>Integrar notificación, confirmación y estados de pedidos vía API</t>
  </si>
  <si>
    <t>Debe contemplar confirmación y rechazo por stock</t>
  </si>
  <si>
    <t>DEV-01</t>
  </si>
  <si>
    <t>Devoluciones</t>
  </si>
  <si>
    <t>Definir flujo de devoluciones</t>
  </si>
  <si>
    <t>Definir proceso de devolución, aceptación, rechazo e impacto de stock</t>
  </si>
  <si>
    <t>DEV-02</t>
  </si>
  <si>
    <t>Gestión manual de devoluciones</t>
  </si>
  <si>
    <t>Operar devoluciones desde el flujo actual</t>
  </si>
  <si>
    <t>DEV-03</t>
  </si>
  <si>
    <t>Control masivo de devoluciones</t>
  </si>
  <si>
    <t>Registrar y controlar devoluciones mediante planilla estándar</t>
  </si>
  <si>
    <t>DEV-04</t>
  </si>
  <si>
    <t>API devoluciones</t>
  </si>
  <si>
    <t>Integrar aceptación, rechazo e impacto de stock vía API</t>
  </si>
  <si>
    <t>CMP-01</t>
  </si>
  <si>
    <t>Comprobantes</t>
  </si>
  <si>
    <t>Definir modelo de facturación</t>
  </si>
  <si>
    <t>Definir reglas fiscales y emisión de comprobantes por seller</t>
  </si>
  <si>
    <t>Pendiente de definición fiscal final</t>
  </si>
  <si>
    <t>CMP-02</t>
  </si>
  <si>
    <t>Emisión de comprobantes</t>
  </si>
  <si>
    <t>Configurar emisión de comprobantes desde PIM o sistema definido</t>
  </si>
  <si>
    <t>CMP-03</t>
  </si>
  <si>
    <t>Envío masivo de comprobantes</t>
  </si>
  <si>
    <t>Habilitar envío y control masivo de comprobantes</t>
  </si>
  <si>
    <t>CMP-04</t>
  </si>
  <si>
    <t>API comprobantes</t>
  </si>
  <si>
    <t>Integrar emisión, envío y consulta de comprobantes vía API</t>
  </si>
  <si>
    <t>LOGD-01</t>
  </si>
  <si>
    <t>Logistica Directa</t>
  </si>
  <si>
    <t>Definir estrategia de envíos</t>
  </si>
  <si>
    <t>Definir carrier, contrato, servicio y regla de costo por seller</t>
  </si>
  <si>
    <t>LOGD-02</t>
  </si>
  <si>
    <t>Configurar carriers</t>
  </si>
  <si>
    <t>Configurar Andreani u otros operadores logísticos según seller</t>
  </si>
  <si>
    <t>LOGD-03</t>
  </si>
  <si>
    <t>Seguimiento de envíos</t>
  </si>
  <si>
    <t>Controlar tracking y estados logísticos</t>
  </si>
  <si>
    <t>LOGD-04</t>
  </si>
  <si>
    <t>API tracking directo</t>
  </si>
  <si>
    <t>Integrar tracking completo y estados logísticos vía API</t>
  </si>
  <si>
    <t>LOGI-01</t>
  </si>
  <si>
    <t>Logistica Inversa</t>
  </si>
  <si>
    <t>Definir logística inversa</t>
  </si>
  <si>
    <t>Definir flujo de retiro, retorno y destino de devolución</t>
  </si>
  <si>
    <t>LOGI-02</t>
  </si>
  <si>
    <t>Configurar direcciones de retorno</t>
  </si>
  <si>
    <t>Configurar destino operativo de devoluciones por seller</t>
  </si>
  <si>
    <t>LOGI-03</t>
  </si>
  <si>
    <t>Control de devoluciones</t>
  </si>
  <si>
    <t>Registrar seguimiento e incidencias de logística inversa</t>
  </si>
  <si>
    <t>LOGI-04</t>
  </si>
  <si>
    <t>API logística inversa</t>
  </si>
  <si>
    <t>Integrar estados de devolución y retorno vía API</t>
  </si>
  <si>
    <t>CON-01</t>
  </si>
  <si>
    <t>Conciliacion</t>
  </si>
  <si>
    <t>Definir modelo de conciliación</t>
  </si>
  <si>
    <t>Definir reglas financieras, comisiones, ajustes y servicios</t>
  </si>
  <si>
    <t>CON-02</t>
  </si>
  <si>
    <t>Conciliación manual</t>
  </si>
  <si>
    <t>Operar conciliación mensual inicial</t>
  </si>
  <si>
    <t>CON-03</t>
  </si>
  <si>
    <t>Reporte de conciliación</t>
  </si>
  <si>
    <t>Generar reporte operativo para control mensual</t>
  </si>
  <si>
    <t>CON-04</t>
  </si>
  <si>
    <t>API conciliación</t>
  </si>
  <si>
    <t>Automatizar conciliación, ajustes y liquidaciones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</si>
</sst>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35">
    <font>
      <sz val="11.0"/>
      <color theme="1"/>
      <name val="Arial"/>
      <scheme val="minor"/>
    </font>
    <font>
      <b/>
      <sz val="8.0"/>
      <color rgb="FFFFFFFF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u/>
      <sz val="10.0"/>
      <color rgb="FF1565C0"/>
      <name val="Calibri"/>
    </font>
    <font>
      <sz val="10.0"/>
      <color rgb="FF1565C0"/>
      <name val="Calibri"/>
    </font>
    <font>
      <i/>
      <sz val="10.0"/>
      <color rgb="FF666666"/>
      <name val="Calibri"/>
    </font>
    <font>
      <u/>
      <sz val="10.0"/>
      <color rgb="FF00695C"/>
      <name val="Calibri"/>
    </font>
    <font>
      <sz val="10.0"/>
      <color rgb="FF00695C"/>
      <name val="Calibri"/>
    </font>
    <font>
      <u/>
      <sz val="10.0"/>
      <color rgb="FFE65100"/>
      <name val="Calibri"/>
    </font>
    <font>
      <u/>
      <sz val="10.0"/>
      <color rgb="FFE65100"/>
      <name val="Calibri"/>
    </font>
    <font>
      <sz val="10.0"/>
      <color rgb="FFE65100"/>
      <name val="Calibri"/>
    </font>
    <font>
      <u/>
      <sz val="10.0"/>
      <color rgb="FFE65100"/>
      <name val="Calibri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u/>
      <color rgb="FF0000FF"/>
      <name val="Roboto"/>
    </font>
    <font>
      <u/>
      <color rgb="FF0000FF"/>
      <name val="Roboto"/>
    </font>
    <font>
      <b/>
      <sz val="13.0"/>
      <color rgb="FFFFFFFF"/>
      <name val="Calibri"/>
    </font>
    <font/>
    <font>
      <b/>
      <sz val="8.0"/>
      <color theme="1"/>
      <name val="Calibri"/>
    </font>
    <font>
      <sz val="10.0"/>
      <color rgb="FF2D5A1B"/>
      <name val="Calibri"/>
    </font>
    <font>
      <sz val="10.0"/>
      <color rgb="FF0D0F0D"/>
      <name val="Calibri"/>
    </font>
    <font>
      <i/>
      <sz val="9.0"/>
      <color rgb="FF795548"/>
      <name val="Calibri"/>
    </font>
    <font>
      <b/>
      <sz val="9.0"/>
      <color rgb="FF2D5A1B"/>
      <name val="Calibri"/>
    </font>
    <font>
      <b/>
      <sz val="9.0"/>
      <color rgb="FFFFFFFF"/>
      <name val="Calibri"/>
    </font>
    <font>
      <b/>
      <sz val="10.0"/>
      <color rgb="FF0D0F0D"/>
      <name val="Calibri"/>
    </font>
    <font>
      <sz val="10.0"/>
      <color rgb="FF795548"/>
      <name val="Calibri"/>
    </font>
    <font>
      <u/>
      <sz val="10.0"/>
      <color rgb="FF0D0F0D"/>
      <name val="Calibri"/>
    </font>
    <font>
      <u/>
      <sz val="10.0"/>
      <color rgb="FF0D0F0D"/>
      <name val="Calibri"/>
    </font>
    <font>
      <u/>
      <color rgb="FF0000FF"/>
    </font>
    <font>
      <b/>
      <sz val="11.0"/>
      <color theme="1"/>
      <name val="Calibri"/>
    </font>
    <font>
      <sz val="11.0"/>
      <color rgb="FF1D231C"/>
      <name val="Calibri"/>
    </font>
    <font>
      <u/>
      <sz val="11.0"/>
      <color rgb="FF1D231C"/>
      <name val="Calibri"/>
    </font>
    <font>
      <u/>
      <sz val="11.0"/>
      <color rgb="FF0000FF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5EA832"/>
        <bgColor rgb="FF5EA832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B2DFDB"/>
        <bgColor rgb="FFB2DFDB"/>
      </patternFill>
    </fill>
    <fill>
      <patternFill patternType="solid">
        <fgColor rgb="FFFFF8E1"/>
        <bgColor rgb="FFFFF8E1"/>
      </patternFill>
    </fill>
    <fill>
      <patternFill patternType="solid">
        <fgColor rgb="FFFFF7CC"/>
        <bgColor rgb="FFFFF7CC"/>
      </patternFill>
    </fill>
    <fill>
      <patternFill patternType="solid">
        <fgColor rgb="FFCFD8DC"/>
        <bgColor rgb="FFCFD8DC"/>
      </patternFill>
    </fill>
    <fill>
      <patternFill patternType="solid">
        <fgColor rgb="FF2D5A1B"/>
        <bgColor rgb="FF2D5A1B"/>
      </patternFill>
    </fill>
    <fill>
      <patternFill patternType="solid">
        <fgColor rgb="FFEAF3DE"/>
        <bgColor rgb="FFEAF3DE"/>
      </patternFill>
    </fill>
    <fill>
      <patternFill patternType="solid">
        <fgColor rgb="FFFFF9C4"/>
        <bgColor rgb="FFFFF9C4"/>
      </patternFill>
    </fill>
    <fill>
      <patternFill patternType="solid">
        <fgColor rgb="FFFFF3E0"/>
        <bgColor rgb="FFFFF3E0"/>
      </patternFill>
    </fill>
    <fill>
      <patternFill patternType="solid">
        <fgColor rgb="FFF3F6F0"/>
        <bgColor rgb="FFF3F6F0"/>
      </patternFill>
    </fill>
    <fill>
      <patternFill patternType="solid">
        <fgColor rgb="FFE1BEE7"/>
        <bgColor rgb="FFE1BEE7"/>
      </patternFill>
    </fill>
    <fill>
      <patternFill patternType="solid">
        <fgColor rgb="FFE0F2F1"/>
        <bgColor rgb="FFE0F2F1"/>
      </patternFill>
    </fill>
    <fill>
      <patternFill patternType="solid">
        <fgColor rgb="FF4A8A26"/>
        <bgColor rgb="FF4A8A2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8D8C3"/>
      </left>
      <right style="thin">
        <color rgb="FFC8D8C3"/>
      </right>
      <top style="thin">
        <color rgb="FFC8D8C3"/>
      </top>
      <bottom style="thin">
        <color rgb="FFC8D8C3"/>
      </bottom>
    </border>
    <border>
      <left style="thin">
        <color rgb="FFC8D8C3"/>
      </left>
      <top style="thin">
        <color rgb="FFC8D8C3"/>
      </top>
      <bottom style="thin">
        <color rgb="FFC8D8C3"/>
      </bottom>
    </border>
    <border>
      <top style="thin">
        <color rgb="FFC8D8C3"/>
      </top>
      <bottom style="thin">
        <color rgb="FFC8D8C3"/>
      </bottom>
    </border>
    <border>
      <right style="thin">
        <color rgb="FFC8D8C3"/>
      </right>
      <top style="thin">
        <color rgb="FFC8D8C3"/>
      </top>
      <bottom style="thin">
        <color rgb="FFC8D8C3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0" fillId="3" fontId="3" numFmtId="0" xfId="0" applyAlignment="1" applyFont="1">
      <alignment horizontal="left" readingOrder="0"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3" numFmtId="164" xfId="0" applyAlignment="1" applyFont="1" applyNumberFormat="1">
      <alignment horizontal="left" readingOrder="0" shrinkToFit="0" vertical="center" wrapText="0"/>
    </xf>
    <xf borderId="0" fillId="3" fontId="6" numFmtId="0" xfId="0" applyAlignment="1" applyFont="1">
      <alignment horizontal="left" shrinkToFit="0" vertical="center" wrapText="1"/>
    </xf>
    <xf borderId="0" fillId="3" fontId="3" numFmtId="0" xfId="0" applyAlignment="1" applyFont="1">
      <alignment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5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3" fontId="8" numFmtId="0" xfId="0" applyAlignment="1" applyFont="1">
      <alignment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3" numFmtId="0" xfId="0" applyAlignment="1" applyFont="1">
      <alignment horizontal="left" shrinkToFit="0" vertical="center" wrapText="0"/>
    </xf>
    <xf borderId="0" fillId="3" fontId="10" numFmtId="0" xfId="0" applyAlignment="1" applyFont="1">
      <alignment readingOrder="0"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3" fontId="11" numFmtId="0" xfId="0" applyAlignment="1" applyFont="1">
      <alignment shrinkToFit="0" vertical="center" wrapText="0"/>
    </xf>
    <xf borderId="0" fillId="4" fontId="2" numFmtId="0" xfId="0" applyAlignment="1" applyFill="1" applyFont="1">
      <alignment horizontal="center" readingOrder="0" shrinkToFit="0" vertical="center" wrapText="0"/>
    </xf>
    <xf borderId="0" fillId="4" fontId="3" numFmtId="0" xfId="0" applyAlignment="1" applyFont="1">
      <alignment horizontal="left" readingOrder="0" shrinkToFit="0" vertical="center" wrapText="0"/>
    </xf>
    <xf borderId="0" fillId="5" fontId="3" numFmtId="0" xfId="0" applyAlignment="1" applyFill="1" applyFont="1">
      <alignment horizontal="left" readingOrder="0" shrinkToFit="0" vertical="center" wrapText="0"/>
    </xf>
    <xf borderId="0" fillId="6" fontId="12" numFmtId="0" xfId="0" applyAlignment="1" applyFill="1" applyFont="1">
      <alignment readingOrder="0" shrinkToFit="0" vertical="center" wrapText="0"/>
    </xf>
    <xf borderId="0" fillId="5" fontId="3" numFmtId="0" xfId="0" applyAlignment="1" applyFont="1">
      <alignment readingOrder="0" shrinkToFit="0" vertical="center" wrapText="0"/>
    </xf>
    <xf borderId="0" fillId="7" fontId="3" numFmtId="0" xfId="0" applyAlignment="1" applyFill="1" applyFont="1">
      <alignment readingOrder="0" shrinkToFit="0" vertical="center" wrapText="0"/>
    </xf>
    <xf borderId="0" fillId="7" fontId="3" numFmtId="0" xfId="0" applyAlignment="1" applyFont="1">
      <alignment readingOrder="0" shrinkToFit="0" vertical="center" wrapText="0"/>
    </xf>
    <xf borderId="0" fillId="6" fontId="11" numFmtId="0" xfId="0" applyAlignment="1" applyFont="1">
      <alignment readingOrder="0" shrinkToFit="0" vertical="center" wrapText="0"/>
    </xf>
    <xf borderId="0" fillId="8" fontId="3" numFmtId="0" xfId="0" applyAlignment="1" applyFill="1" applyFont="1">
      <alignment horizontal="left" readingOrder="0" shrinkToFit="0" vertical="center" wrapText="0"/>
    </xf>
    <xf borderId="0" fillId="8" fontId="3" numFmtId="164" xfId="0" applyAlignment="1" applyFont="1" applyNumberFormat="1">
      <alignment horizontal="left" readingOrder="0" shrinkToFit="0" vertical="center" wrapText="0"/>
    </xf>
    <xf borderId="0" fillId="7" fontId="6" numFmtId="0" xfId="0" applyAlignment="1" applyFont="1">
      <alignment horizontal="left" shrinkToFit="0" vertical="center" wrapText="1"/>
    </xf>
    <xf borderId="0" fillId="5" fontId="3" numFmtId="0" xfId="0" applyAlignment="1" applyFont="1">
      <alignment shrinkToFit="0" vertical="center" wrapText="0"/>
    </xf>
    <xf borderId="0" fillId="5" fontId="3" numFmtId="0" xfId="0" applyAlignment="1" applyFont="1">
      <alignment readingOrder="0" shrinkToFit="0" vertical="center" wrapText="0"/>
    </xf>
    <xf borderId="0" fillId="7" fontId="6" numFmtId="0" xfId="0" applyAlignment="1" applyFont="1">
      <alignment horizontal="left" readingOrder="0" shrinkToFit="0" vertical="center" wrapText="1"/>
    </xf>
    <xf borderId="0" fillId="2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4" numFmtId="165" xfId="0" applyAlignment="1" applyFont="1" applyNumberFormat="1">
      <alignment readingOrder="0"/>
    </xf>
    <xf borderId="0" fillId="0" fontId="14" numFmtId="9" xfId="0" applyAlignment="1" applyFont="1" applyNumberFormat="1">
      <alignment readingOrder="0"/>
    </xf>
    <xf borderId="0" fillId="0" fontId="15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readingOrder="0" shrinkToFit="0" vertical="center" wrapText="0"/>
    </xf>
    <xf borderId="0" fillId="0" fontId="14" numFmtId="165" xfId="0" applyAlignment="1" applyFont="1" applyNumberFormat="1">
      <alignment readingOrder="0" shrinkToFit="0" vertical="center" wrapText="0"/>
    </xf>
    <xf borderId="0" fillId="0" fontId="14" numFmtId="9" xfId="0" applyAlignment="1" applyFont="1" applyNumberForma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4" numFmtId="165" xfId="0" applyAlignment="1" applyFont="1" applyNumberFormat="1">
      <alignment readingOrder="0" shrinkToFit="0" vertical="center" wrapText="0"/>
    </xf>
    <xf borderId="0" fillId="0" fontId="14" numFmtId="9" xfId="0" applyAlignment="1" applyFont="1" applyNumberFormat="1">
      <alignment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0" fontId="17" numFmtId="0" xfId="0" applyAlignment="1" applyFont="1">
      <alignment readingOrder="0" shrinkToFit="0" vertical="center" wrapText="0"/>
    </xf>
    <xf borderId="1" fillId="9" fontId="18" numFmtId="0" xfId="0" applyAlignment="1" applyBorder="1" applyFill="1" applyFont="1">
      <alignment horizontal="left" vertical="center"/>
    </xf>
    <xf borderId="2" fillId="0" fontId="19" numFmtId="0" xfId="0" applyBorder="1" applyFont="1"/>
    <xf borderId="3" fillId="0" fontId="19" numFmtId="0" xfId="0" applyBorder="1" applyFont="1"/>
    <xf borderId="0" fillId="0" fontId="20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shrinkToFit="0" wrapText="0"/>
    </xf>
    <xf borderId="0" fillId="10" fontId="21" numFmtId="0" xfId="0" applyAlignment="1" applyFill="1" applyFont="1">
      <alignment horizontal="left" readingOrder="0" shrinkToFit="0" vertical="center" wrapText="0"/>
    </xf>
    <xf borderId="0" fillId="10" fontId="21" numFmtId="0" xfId="0" applyAlignment="1" applyFont="1">
      <alignment readingOrder="0" shrinkToFit="0" vertical="center" wrapText="0"/>
    </xf>
    <xf borderId="0" fillId="10" fontId="21" numFmtId="0" xfId="0" applyAlignment="1" applyFont="1">
      <alignment horizontal="left" shrinkToFit="0" vertical="center" wrapText="0"/>
    </xf>
    <xf borderId="0" fillId="11" fontId="22" numFmtId="164" xfId="0" applyAlignment="1" applyFill="1" applyFont="1" applyNumberFormat="1">
      <alignment horizontal="left" readingOrder="0" shrinkToFit="0" vertical="center" wrapText="0"/>
    </xf>
    <xf borderId="0" fillId="10" fontId="21" numFmtId="0" xfId="0" applyAlignment="1" applyFont="1">
      <alignment shrinkToFit="0" vertical="center" wrapText="0"/>
    </xf>
    <xf borderId="0" fillId="10" fontId="21" numFmtId="0" xfId="0" applyAlignment="1" applyFont="1">
      <alignment horizontal="center" shrinkToFit="0" vertical="center" wrapText="0"/>
    </xf>
    <xf borderId="0" fillId="4" fontId="5" numFmtId="0" xfId="0" applyAlignment="1" applyFont="1">
      <alignment horizontal="left" readingOrder="0" shrinkToFit="0" vertical="center" wrapText="0"/>
    </xf>
    <xf borderId="0" fillId="4" fontId="5" numFmtId="0" xfId="0" applyAlignment="1" applyFont="1">
      <alignment readingOrder="0" shrinkToFit="0" vertical="center" wrapText="0"/>
    </xf>
    <xf borderId="0" fillId="11" fontId="22" numFmtId="0" xfId="0" applyAlignment="1" applyFont="1">
      <alignment horizontal="left" shrinkToFit="0" vertical="center" wrapText="0"/>
    </xf>
    <xf borderId="0" fillId="4" fontId="5" numFmtId="0" xfId="0" applyAlignment="1" applyFont="1">
      <alignment shrinkToFit="0" vertical="center" wrapText="0"/>
    </xf>
    <xf borderId="0" fillId="4" fontId="5" numFmtId="0" xfId="0" applyAlignment="1" applyFont="1">
      <alignment horizontal="center" shrinkToFit="0" vertical="center" wrapText="0"/>
    </xf>
    <xf borderId="0" fillId="4" fontId="5" numFmtId="0" xfId="0" applyAlignment="1" applyFont="1">
      <alignment horizontal="left" shrinkToFit="0" vertical="center" wrapText="0"/>
    </xf>
    <xf borderId="0" fillId="3" fontId="22" numFmtId="0" xfId="0" applyAlignment="1" applyFont="1">
      <alignment horizontal="left" readingOrder="0" shrinkToFit="0" vertical="center" wrapText="0"/>
    </xf>
    <xf borderId="0" fillId="3" fontId="22" numFmtId="0" xfId="0" applyAlignment="1" applyFont="1">
      <alignment readingOrder="0" shrinkToFit="0" vertical="center" wrapText="0"/>
    </xf>
    <xf borderId="0" fillId="3" fontId="22" numFmtId="0" xfId="0" applyAlignment="1" applyFont="1">
      <alignment horizontal="center" shrinkToFit="0" vertical="center" wrapText="0"/>
    </xf>
    <xf borderId="0" fillId="3" fontId="22" numFmtId="0" xfId="0" applyAlignment="1" applyFont="1">
      <alignment horizontal="left" shrinkToFit="0" vertical="center" wrapText="0"/>
    </xf>
    <xf borderId="0" fillId="3" fontId="22" numFmtId="0" xfId="0" applyAlignment="1" applyFont="1">
      <alignment shrinkToFit="0" vertical="center" wrapText="0"/>
    </xf>
    <xf borderId="0" fillId="3" fontId="22" numFmtId="0" xfId="0" applyAlignment="1" applyFont="1">
      <alignment horizontal="left" readingOrder="0" shrinkToFit="0" vertical="center" wrapText="0"/>
    </xf>
    <xf borderId="0" fillId="3" fontId="22" numFmtId="0" xfId="0" applyAlignment="1" applyFont="1">
      <alignment readingOrder="0" shrinkToFit="0" vertical="center" wrapText="0"/>
    </xf>
    <xf borderId="0" fillId="11" fontId="22" numFmtId="164" xfId="0" applyAlignment="1" applyFont="1" applyNumberFormat="1">
      <alignment horizontal="left" readingOrder="0" shrinkToFit="0" vertical="center" wrapText="0"/>
    </xf>
    <xf borderId="0" fillId="11" fontId="22" numFmtId="0" xfId="0" applyAlignment="1" applyFont="1">
      <alignment horizontal="left" shrinkToFit="0" vertical="center" wrapText="0"/>
    </xf>
    <xf borderId="0" fillId="3" fontId="22" numFmtId="0" xfId="0" applyAlignment="1" applyFont="1">
      <alignment shrinkToFit="0" vertical="center" wrapText="0"/>
    </xf>
    <xf borderId="0" fillId="3" fontId="22" numFmtId="0" xfId="0" applyAlignment="1" applyFont="1">
      <alignment horizontal="center" shrinkToFit="0" vertical="center" wrapText="0"/>
    </xf>
    <xf borderId="0" fillId="3" fontId="22" numFmtId="0" xfId="0" applyAlignment="1" applyFont="1">
      <alignment horizontal="left" shrinkToFit="0" vertical="center" wrapText="0"/>
    </xf>
    <xf borderId="1" fillId="12" fontId="23" numFmtId="0" xfId="0" applyAlignment="1" applyBorder="1" applyFill="1" applyFont="1">
      <alignment horizontal="center" shrinkToFit="0" vertical="center" wrapText="1"/>
    </xf>
    <xf borderId="4" fillId="5" fontId="24" numFmtId="0" xfId="0" applyAlignment="1" applyBorder="1" applyFont="1">
      <alignment horizontal="center" shrinkToFit="0" vertical="center" wrapText="1"/>
    </xf>
    <xf borderId="4" fillId="8" fontId="24" numFmtId="0" xfId="0" applyAlignment="1" applyBorder="1" applyFont="1">
      <alignment horizontal="center" shrinkToFit="0" vertical="center" wrapText="1"/>
    </xf>
    <xf borderId="4" fillId="13" fontId="24" numFmtId="0" xfId="0" applyAlignment="1" applyBorder="1" applyFill="1" applyFont="1">
      <alignment horizontal="center" shrinkToFit="0" vertical="center" wrapText="1"/>
    </xf>
    <xf borderId="4" fillId="14" fontId="2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left" vertical="center"/>
    </xf>
    <xf borderId="4" fillId="4" fontId="5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left" shrinkToFit="0" vertical="center" wrapText="1"/>
    </xf>
    <xf borderId="4" fillId="15" fontId="8" numFmtId="0" xfId="0" applyAlignment="1" applyBorder="1" applyFill="1" applyFont="1">
      <alignment horizontal="left" vertical="center"/>
    </xf>
    <xf borderId="4" fillId="15" fontId="8" numFmtId="0" xfId="0" applyAlignment="1" applyBorder="1" applyFont="1">
      <alignment horizontal="center" vertical="center"/>
    </xf>
    <xf borderId="4" fillId="15" fontId="8" numFmtId="0" xfId="0" applyAlignment="1" applyBorder="1" applyFont="1">
      <alignment horizontal="left" shrinkToFit="0" vertical="center" wrapText="1"/>
    </xf>
    <xf borderId="4" fillId="6" fontId="11" numFmtId="0" xfId="0" applyAlignment="1" applyBorder="1" applyFont="1">
      <alignment horizontal="left" vertical="center"/>
    </xf>
    <xf borderId="4" fillId="6" fontId="11" numFmtId="0" xfId="0" applyAlignment="1" applyBorder="1" applyFont="1">
      <alignment horizontal="center" vertical="center"/>
    </xf>
    <xf borderId="4" fillId="6" fontId="11" numFmtId="0" xfId="0" applyAlignment="1" applyBorder="1" applyFont="1">
      <alignment horizontal="left" shrinkToFit="0" vertical="center" wrapText="1"/>
    </xf>
    <xf borderId="4" fillId="16" fontId="25" numFmtId="0" xfId="0" applyAlignment="1" applyBorder="1" applyFill="1" applyFont="1">
      <alignment horizontal="center" shrinkToFit="0" vertical="center" wrapText="1"/>
    </xf>
    <xf borderId="5" fillId="10" fontId="24" numFmtId="0" xfId="0" applyAlignment="1" applyBorder="1" applyFont="1">
      <alignment horizontal="left" vertical="center"/>
    </xf>
    <xf borderId="6" fillId="0" fontId="19" numFmtId="0" xfId="0" applyBorder="1" applyFont="1"/>
    <xf borderId="7" fillId="0" fontId="19" numFmtId="0" xfId="0" applyBorder="1" applyFont="1"/>
    <xf borderId="4" fillId="3" fontId="26" numFmtId="0" xfId="0" applyAlignment="1" applyBorder="1" applyFont="1">
      <alignment horizontal="left" vertical="center"/>
    </xf>
    <xf borderId="4" fillId="11" fontId="22" numFmtId="0" xfId="0" applyAlignment="1" applyBorder="1" applyFont="1">
      <alignment horizontal="center" vertical="center"/>
    </xf>
    <xf borderId="4" fillId="3" fontId="22" numFmtId="0" xfId="0" applyAlignment="1" applyBorder="1" applyFont="1">
      <alignment horizontal="center" vertical="center"/>
    </xf>
    <xf borderId="4" fillId="3" fontId="22" numFmtId="0" xfId="0" applyAlignment="1" applyBorder="1" applyFont="1">
      <alignment horizontal="left" shrinkToFit="0" vertical="center" wrapText="1"/>
    </xf>
    <xf borderId="4" fillId="3" fontId="27" numFmtId="0" xfId="0" applyAlignment="1" applyBorder="1" applyFont="1">
      <alignment horizontal="left" shrinkToFit="0" vertical="center" wrapText="1"/>
    </xf>
    <xf borderId="1" fillId="12" fontId="23" numFmtId="0" xfId="0" applyAlignment="1" applyBorder="1" applyFont="1">
      <alignment horizontal="left" vertical="center"/>
    </xf>
    <xf borderId="4" fillId="16" fontId="1" numFmtId="0" xfId="0" applyAlignment="1" applyBorder="1" applyFont="1">
      <alignment horizontal="center" shrinkToFit="0" vertical="center" wrapText="1"/>
    </xf>
    <xf borderId="4" fillId="3" fontId="26" numFmtId="0" xfId="0" applyAlignment="1" applyBorder="1" applyFont="1">
      <alignment horizontal="center" vertical="center"/>
    </xf>
    <xf borderId="4" fillId="3" fontId="22" numFmtId="0" xfId="0" applyAlignment="1" applyBorder="1" applyFont="1">
      <alignment horizontal="left" vertical="center"/>
    </xf>
    <xf borderId="4" fillId="11" fontId="22" numFmtId="0" xfId="0" applyAlignment="1" applyBorder="1" applyFont="1">
      <alignment horizontal="center" readingOrder="0" vertical="center"/>
    </xf>
    <xf borderId="4" fillId="11" fontId="22" numFmtId="0" xfId="0" applyAlignment="1" applyBorder="1" applyFont="1">
      <alignment horizontal="left" vertical="center"/>
    </xf>
    <xf borderId="4" fillId="11" fontId="28" numFmtId="0" xfId="0" applyAlignment="1" applyBorder="1" applyFont="1">
      <alignment horizontal="left" readingOrder="0" vertical="center"/>
    </xf>
    <xf borderId="4" fillId="11" fontId="29" numFmtId="0" xfId="0" applyAlignment="1" applyBorder="1" applyFont="1">
      <alignment horizontal="left" readingOrder="0" vertical="center"/>
    </xf>
    <xf borderId="0" fillId="0" fontId="30" numFmtId="0" xfId="0" applyAlignment="1" applyFont="1">
      <alignment readingOrder="0"/>
    </xf>
    <xf borderId="0" fillId="0" fontId="31" numFmtId="0" xfId="0" applyAlignment="1" applyFont="1">
      <alignment horizontal="center" readingOrder="0" shrinkToFit="0" vertical="center" wrapText="0"/>
    </xf>
    <xf borderId="0" fillId="0" fontId="31" numFmtId="0" xfId="0" applyAlignment="1" applyFont="1">
      <alignment horizontal="center" readingOrder="0" shrinkToFit="0" vertical="center" wrapText="0"/>
    </xf>
    <xf borderId="0" fillId="0" fontId="31" numFmtId="49" xfId="0" applyAlignment="1" applyFont="1" applyNumberFormat="1">
      <alignment horizontal="center" readingOrder="0" shrinkToFit="0" vertical="center" wrapText="0"/>
    </xf>
    <xf borderId="0" fillId="0" fontId="14" numFmtId="0" xfId="0" applyAlignment="1" applyFont="1">
      <alignment horizontal="left" readingOrder="0"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0" fontId="32" numFmtId="164" xfId="0" applyAlignment="1" applyFont="1" applyNumberFormat="1">
      <alignment readingOrder="0" shrinkToFit="0" vertical="center" wrapText="0"/>
    </xf>
    <xf borderId="0" fillId="0" fontId="32" numFmtId="0" xfId="0" applyAlignment="1" applyFont="1">
      <alignment shrinkToFit="0" vertical="center" wrapText="0"/>
    </xf>
    <xf borderId="0" fillId="0" fontId="32" numFmtId="9" xfId="0" applyAlignment="1" applyFont="1" applyNumberFormat="1">
      <alignment readingOrder="0"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0" fontId="14" numFmtId="164" xfId="0" applyAlignment="1" applyFont="1" applyNumberFormat="1">
      <alignment readingOrder="0" shrinkToFit="0" vertical="center" wrapText="0"/>
    </xf>
    <xf borderId="0" fillId="0" fontId="32" numFmtId="0" xfId="0" applyAlignment="1" applyFont="1">
      <alignment readingOrder="0" shrinkToFit="0" vertical="center" wrapText="0"/>
    </xf>
    <xf borderId="0" fillId="0" fontId="34" numFmtId="0" xfId="0" applyAlignment="1" applyFont="1">
      <alignment readingOrder="0" shrinkToFit="0" vertical="center" wrapText="0"/>
    </xf>
    <xf borderId="0" fillId="0" fontId="3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sell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levamien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imeli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_roadma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8" displayName="Backlog" name="Backlog" id="1">
  <tableColumns count="20">
    <tableColumn name="seller_id" id="1"/>
    <tableColumn name="seller_nombre" id="2"/>
    <tableColumn name="empresa_grupo" id="3"/>
    <tableColumn name="marca_seller_operativo" id="4"/>
    <tableColumn name="url_seller" id="5"/>
    <tableColumn name="categoria_estimada" id="6"/>
    <tableColumn name="plataforma_estimada" id="7"/>
    <tableColumn name="modelo_integracion_estimado" id="8"/>
    <tableColumn name="estado_pipeline" id="9"/>
    <tableColumn name="prioridad" id="10"/>
    <tableColumn name="sitio_objetivo" id="11"/>
    <tableColumn name="responsable" id="12"/>
    <tableColumn name="contacto_nombre" id="13"/>
    <tableColumn name="contacto_email" id="14"/>
    <tableColumn name="contacto_tel" id="15"/>
    <tableColumn name="fecha_alta" id="16"/>
    <tableColumn name="fecha_ultima_actualizacion" id="17"/>
    <tableColumn name="proximo_paso" id="18"/>
    <tableColumn name="observaciones" id="19"/>
    <tableColumn name="activo" id="20"/>
  </tableColumns>
  <tableStyleInfo name="sellers-style" showColumnStripes="0" showFirstColumn="1" showLastColumn="1" showRowStripes="1"/>
</table>
</file>

<file path=xl/tables/table2.xml><?xml version="1.0" encoding="utf-8"?>
<table xmlns="http://schemas.openxmlformats.org/spreadsheetml/2006/main" ref="A1:DD3" displayName="Relevamientos" name="Relevamientos" id="2">
  <tableColumns count="108">
    <tableColumn name="seller_id" id="1"/>
    <tableColumn name="fecha_envio" id="2"/>
    <tableColumn name="estado_relevamiento" id="3"/>
    <tableColumn name="completitud" id="4"/>
    <tableColumn name="nombre" id="5"/>
    <tableColumn name="razon_social" id="6"/>
    <tableColumn name="cuit" id="7"/>
    <tableColumn name="web" id="8"/>
    <tableColumn name="pais_provincia" id="9"/>
    <tableColumn name="tipo_empresa" id="10"/>
    <tableColumn name="canal_principal" id="11"/>
    <tableColumn name="opera_marketplaces" id="12"/>
    <tableColumn name="marketplaces_detalle" id="13"/>
    <tableColumn name="categorias" id="14"/>
    <tableColumn name="contacto_nombre" id="15"/>
    <tableColumn name="contacto_email" id="16"/>
    <tableColumn name="contacto_tel" id="17"/>
    <tableColumn name="contacto_cargo" id="18"/>
    <tableColumn name="contacto_comercial_nombre" id="19"/>
    <tableColumn name="contacto_comercial_email" id="20"/>
    <tableColumn name="contacto_tec_nombre" id="21"/>
    <tableColumn name="contacto_tec_email" id="22"/>
    <tableColumn name="contacto_ops_nombre" id="23"/>
    <tableColumn name="contacto_ops_email" id="24"/>
    <tableColumn name="contacto_admin_nombre" id="25"/>
    <tableColumn name="contacto_admin_email" id="26"/>
    <tableColumn name="plataforma" id="27"/>
    <tableColumn name="erp" id="28"/>
    <tableColumn name="erp_cual" id="29"/>
    <tableColumn name="api" id="30"/>
    <tableColumn name="api_alcance" id="31"/>
    <tableColumn name="metodo_integracion" id="32"/>
    <tableColumn name="equipo_tec" id="33"/>
    <tableColumn name="recibe_pedidos_ext" id="34"/>
    <tableColumn name="informa_estados" id="35"/>
    <tableColumn name="informa_tracking" id="36"/>
    <tableColumn name="frec_actualizacion" id="37"/>
    <tableColumn name="obs_tecnologia" id="38"/>
    <tableColumn name="skus_estimados" id="39"/>
    <tableColumn name="variantes" id="40"/>
    <tableColumn name="gestion_catalogo" id="41"/>
    <tableColumn name="catalogo_excel" id="42"/>
    <tableColumn name="info_prod_completa" id="43"/>
    <tableColumn name="atributos_tecnicos" id="44"/>
    <tableColumn name="imagenes" id="45"/>
    <tableColumn name="imagenes_variante" id="46"/>
    <tableColumn name="tabla_talles" id="47"/>
    <tableColumn name="productos_variantes" id="48"/>
    <tableColumn name="codigos_sku_ean" id="49"/>
    <tableColumn name="productos_en_sporting" id="50"/>
    <tableColumn name="restricciones_cat" id="51"/>
    <tableColumn name="restricciones_cat_det" id="52"/>
    <tableColumn name="obs_catalogo" id="53"/>
    <tableColumn name="stock_tipo" id="54"/>
    <tableColumn name="stock_exclusivo_mkt" id="55"/>
    <tableColumn name="stock_seguridad" id="56"/>
    <tableColumn name="stock_minimo_seguridad" id="57"/>
    <tableColumn name="frec_stock" id="58"/>
    <tableColumn name="gestion_stock" id="59"/>
    <tableColumn name="stock_separado" id="60"/>
    <tableColumn name="gestion_precios" id="61"/>
    <tableColumn name="frec_precios" id="62"/>
    <tableColumn name="precios_iva" id="63"/>
    <tableColumn name="precios_canal" id="64"/>
    <tableColumn name="promos" id="65"/>
    <tableColumn name="promos_det" id="66"/>
    <tableColumn name="entrega_pais" id="67"/>
    <tableColumn name="zonas" id="68"/>
    <tableColumn name="localidad_despacho" id="69"/>
    <tableColumn name="despacho_origen" id="70"/>
    <tableColumn name="operador_logistico" id="71"/>
    <tableColumn name="multi_operador_logistico" id="72"/>
    <tableColumn name="dias_despacho" id="73"/>
    <tableColumn name="tiempo_despacho" id="74"/>
    <tableColumn name="cumple_sla_despacho" id="75"/>
    <tableColumn name="tracking" id="76"/>
    <tableColumn name="impresora" id="77"/>
    <tableColumn name="etiquetado_requerido" id="78"/>
    <tableColumn name="retiro_tienda" id="79"/>
    <tableColumn name="puntos_retiro" id="80"/>
    <tableColumn name="stock_retiro_tienda" id="81"/>
    <tableColumn name="retiro_ops" id="82"/>
    <tableColumn name="obs_logistica" id="83"/>
    <tableColumn name="acepta_devol" id="84"/>
    <tableColumn name="log_devol" id="85"/>
    <tableColumn name="resp_log_inv" id="86"/>
    <tableColumn name="deposito_devol" id="87"/>
    <tableColumn name="resp_validacion_devol" id="88"/>
    <tableColumn name="tiempo_devol" id="89"/>
    <tableColumn name="restr_devol" id="90"/>
    <tableColumn name="restr_devol_det" id="91"/>
    <tableColumn name="nota_credito" id="92"/>
    <tableColumn name="condiciones_postventa" id="93"/>
    <tableColumn name="emite_factura" id="94"/>
    <tableColumn name="factura_auto" id="95"/>
    <tableColumn name="tipo_factura" id="96"/>
    <tableColumn name="factura_formato" id="97"/>
    <tableColumn name="nc_devol" id="98"/>
    <tableColumn name="ticket_promedio" id="99"/>
    <tableColumn name="gmv_estimado" id="100"/>
    <tableColumn name="cuotas" id="101"/>
    <tableColumn name="comision_mkt" id="102"/>
    <tableColumn name="costo_financiero" id="103"/>
    <tableColumn name="restricciones_com" id="104"/>
    <tableColumn name="restricciones_com_det" id="105"/>
    <tableColumn name="limitaciones_actuales" id="106"/>
    <tableColumn name="particularidades" id="107"/>
    <tableColumn name="comentarios" id="108"/>
  </tableColumns>
  <tableStyleInfo name="relevamientos-style" showColumnStripes="0" showFirstColumn="1" showLastColumn="1" showRowStripes="1"/>
</table>
</file>

<file path=xl/tables/table3.xml><?xml version="1.0" encoding="utf-8"?>
<table xmlns="http://schemas.openxmlformats.org/spreadsheetml/2006/main" ref="A3:P61" displayName="Timeline" name="Timeline" id="3">
  <tableColumns count="16">
    <tableColumn name="ID Tarea" id="1"/>
    <tableColumn name="seller_id" id="2"/>
    <tableColumn name="Seller / Marca" id="3"/>
    <tableColumn name="Fase" id="4"/>
    <tableColumn name="Hito" id="5"/>
    <tableColumn name="Tarea" id="6"/>
    <tableColumn name="Responsable" id="7"/>
    <tableColumn name="Depende de" id="8"/>
    <tableColumn name="Inicio plan" id="9"/>
    <tableColumn name="Fin plan" id="10"/>
    <tableColumn name="Inicio real" id="11"/>
    <tableColumn name="Fin real" id="12"/>
    <tableColumn name="Estado" id="13"/>
    <tableColumn name="Atraso (días)" id="14"/>
    <tableColumn name="Comentario" id="15"/>
    <tableColumn name="Ver en Gantt" id="16"/>
  </tableColumns>
  <tableStyleInfo name="timeline-style" showColumnStripes="0" showFirstColumn="1" showLastColumn="1" showRowStripes="1"/>
</table>
</file>

<file path=xl/tables/table4.xml><?xml version="1.0" encoding="utf-8"?>
<table xmlns="http://schemas.openxmlformats.org/spreadsheetml/2006/main" ref="A1:S45" displayName="roadmap_sc" name="roadmap_sc" id="4">
  <tableColumns count="19">
    <tableColumn name="ID" id="1"/>
    <tableColumn name="Modulo" id="2"/>
    <tableColumn name="Tarea" id="3"/>
    <tableColumn name="Descripcion" id="4"/>
    <tableColumn name="Modalidad" id="5"/>
    <tableColumn name="Responsable" id="6"/>
    <tableColumn name="Tipo" id="7"/>
    <tableColumn name="Subtipo" id="8"/>
    <tableColumn name="Estado" id="9"/>
    <tableColumn name="Prioridad" id="10"/>
    <tableColumn name="Fecha Inicio" id="11"/>
    <tableColumn name="Fecha Fin" id="12"/>
    <tableColumn name="Dependencia" id="13"/>
    <tableColumn name="Observaciones" id="14"/>
    <tableColumn name="% Avance" id="15"/>
    <tableColumn name="Hito" id="16"/>
    <tableColumn name="Link Jira" id="17"/>
    <tableColumn name="Link GitLab" id="18"/>
    <tableColumn name="Fecha Ultima Actualizacion" id="19"/>
  </tableColumns>
  <tableStyleInfo name="sc_road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underarmour.com.ar/" TargetMode="External"/><Relationship Id="rId10" Type="http://schemas.openxmlformats.org/officeDocument/2006/relationships/hyperlink" Target="https://ar.puma.com/" TargetMode="External"/><Relationship Id="rId13" Type="http://schemas.openxmlformats.org/officeDocument/2006/relationships/hyperlink" Target="https://www.babolat.com.ar/" TargetMode="External"/><Relationship Id="rId12" Type="http://schemas.openxmlformats.org/officeDocument/2006/relationships/hyperlink" Target="https://bullpadelargentina.com.ar/" TargetMode="External"/><Relationship Id="rId1" Type="http://schemas.openxmlformats.org/officeDocument/2006/relationships/hyperlink" Target="https://bunkerstore.com.ar/" TargetMode="External"/><Relationship Id="rId2" Type="http://schemas.openxmlformats.org/officeDocument/2006/relationships/hyperlink" Target="https://www.taikasport.com.ar/" TargetMode="External"/><Relationship Id="rId3" Type="http://schemas.openxmlformats.org/officeDocument/2006/relationships/hyperlink" Target="https://www.topper.com.ar/" TargetMode="External"/><Relationship Id="rId4" Type="http://schemas.openxmlformats.org/officeDocument/2006/relationships/hyperlink" Target="https://www.asics.com.ar/" TargetMode="External"/><Relationship Id="rId9" Type="http://schemas.openxmlformats.org/officeDocument/2006/relationships/hyperlink" Target="https://www.atomik.com.ar/" TargetMode="External"/><Relationship Id="rId15" Type="http://schemas.openxmlformats.org/officeDocument/2006/relationships/hyperlink" Target="https://www.filament.com.ar/" TargetMode="External"/><Relationship Id="rId14" Type="http://schemas.openxmlformats.org/officeDocument/2006/relationships/hyperlink" Target="https://saucony.com.ar/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tienda.fila.com.ar/" TargetMode="External"/><Relationship Id="rId6" Type="http://schemas.openxmlformats.org/officeDocument/2006/relationships/hyperlink" Target="https://tienda.umbro.com.ar/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arg.mizuno.com/" TargetMode="External"/><Relationship Id="rId8" Type="http://schemas.openxmlformats.org/officeDocument/2006/relationships/hyperlink" Target="https://www.championstore.com.ar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unkerstore.com.ar/" TargetMode="External"/><Relationship Id="rId2" Type="http://schemas.openxmlformats.org/officeDocument/2006/relationships/hyperlink" Target="https://bunkerstore.com.ar/" TargetMode="External"/><Relationship Id="rId3" Type="http://schemas.openxmlformats.org/officeDocument/2006/relationships/drawing" Target="../drawings/drawing4.x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e/2PACX-1vTwd-qIMhoH1poJpaTZqN-7O5IGAfPDTxslBAX8LCPogTkwheW2vWsq59JkvvYakM8ndCKgUQualQyi/pub?gid=899415596&amp;single=true&amp;output=csv" TargetMode="External"/><Relationship Id="rId2" Type="http://schemas.openxmlformats.org/officeDocument/2006/relationships/hyperlink" Target="https://docs.google.com/spreadsheets/d/e/2PACX-1vTwd-qIMhoH1poJpaTZqN-7O5IGAfPDTxslBAX8LCPogTkwheW2vWsq59JkvvYakM8ndCKgUQualQyi/pub?gid=1623881837&amp;single=true&amp;output=csv" TargetMode="External"/><Relationship Id="rId3" Type="http://schemas.openxmlformats.org/officeDocument/2006/relationships/hyperlink" Target="https://docs.google.com/spreadsheets/d/e/2PACX-1vTwd-qIMhoH1poJpaTZqN-7O5IGAfPDTxslBAX8LCPogTkwheW2vWsq59JkvvYakM8ndCKgUQualQyi/pub?gid=42870561&amp;single=true&amp;output=csv" TargetMode="External"/><Relationship Id="rId4" Type="http://schemas.openxmlformats.org/officeDocument/2006/relationships/hyperlink" Target="https://docs.google.com/spreadsheets/d/e/2PACX-1vTwd-qIMhoH1poJpaTZqN-7O5IGAfPDTxslBAX8LCPogTkwheW2vWsq59JkvvYakM8ndCKgUQualQyi/pub?gid=649807159&amp;single=true&amp;output=csv" TargetMode="External"/><Relationship Id="rId5" Type="http://schemas.openxmlformats.org/officeDocument/2006/relationships/hyperlink" Target="https://docs.google.com/spreadsheets/d/e/2PACX-1vTwd-qIMhoH1poJpaTZqN-7O5IGAfPDTxslBAX8LCPogTkwheW2vWsq59JkvvYakM8ndCKgUQualQyi/pub?gid=1925619599&amp;single=true&amp;output=csv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1" Type="http://schemas.openxmlformats.org/officeDocument/2006/relationships/hyperlink" Target="https://productos-web-2022.atlassian.net/browse/GDPW-1857" TargetMode="External"/><Relationship Id="rId10" Type="http://schemas.openxmlformats.org/officeDocument/2006/relationships/hyperlink" Target="https://git.gcp.luquinsa.com.ar/luquin/issues/-/issues/985" TargetMode="External"/><Relationship Id="rId13" Type="http://schemas.openxmlformats.org/officeDocument/2006/relationships/hyperlink" Target="https://productos-web-2022.atlassian.net/browse/GDPW-1858" TargetMode="External"/><Relationship Id="rId12" Type="http://schemas.openxmlformats.org/officeDocument/2006/relationships/hyperlink" Target="https://git.gcp.luquinsa.com.ar/luquin/issues/-/issues/986" TargetMode="External"/><Relationship Id="rId1" Type="http://schemas.openxmlformats.org/officeDocument/2006/relationships/hyperlink" Target="https://productos-web-2022.atlassian.net/browse/GDPW-1852" TargetMode="External"/><Relationship Id="rId2" Type="http://schemas.openxmlformats.org/officeDocument/2006/relationships/hyperlink" Target="https://git.gcp.luquinsa.com.ar/luquin/issues/-/issues/961" TargetMode="External"/><Relationship Id="rId3" Type="http://schemas.openxmlformats.org/officeDocument/2006/relationships/hyperlink" Target="https://productos-web-2022.atlassian.net/browse/GDPW-1853" TargetMode="External"/><Relationship Id="rId4" Type="http://schemas.openxmlformats.org/officeDocument/2006/relationships/hyperlink" Target="https://git.gcp.luquinsa.com.ar/luquin/issues/-/issues/982" TargetMode="External"/><Relationship Id="rId9" Type="http://schemas.openxmlformats.org/officeDocument/2006/relationships/hyperlink" Target="https://productos-web-2022.atlassian.net/browse/GDPW-1856" TargetMode="External"/><Relationship Id="rId15" Type="http://schemas.openxmlformats.org/officeDocument/2006/relationships/hyperlink" Target="https://productos-web-2022.atlassian.net/browse/GDPW-1859" TargetMode="External"/><Relationship Id="rId14" Type="http://schemas.openxmlformats.org/officeDocument/2006/relationships/hyperlink" Target="https://git.gcp.luquinsa.com.ar/luquin/issues/-/issues/988" TargetMode="External"/><Relationship Id="rId17" Type="http://schemas.openxmlformats.org/officeDocument/2006/relationships/drawing" Target="../drawings/drawing10.xml"/><Relationship Id="rId16" Type="http://schemas.openxmlformats.org/officeDocument/2006/relationships/hyperlink" Target="https://git.gcp.luquinsa.com.ar/luquin/issues/-/issues/989" TargetMode="External"/><Relationship Id="rId5" Type="http://schemas.openxmlformats.org/officeDocument/2006/relationships/hyperlink" Target="https://productos-web-2022.atlassian.net/browse/GDPW-1854" TargetMode="External"/><Relationship Id="rId19" Type="http://schemas.openxmlformats.org/officeDocument/2006/relationships/table" Target="../tables/table4.xml"/><Relationship Id="rId6" Type="http://schemas.openxmlformats.org/officeDocument/2006/relationships/hyperlink" Target="https://git.gcp.luquinsa.com.ar/luquin/issues/-/issues/983" TargetMode="External"/><Relationship Id="rId7" Type="http://schemas.openxmlformats.org/officeDocument/2006/relationships/hyperlink" Target="https://productos-web-2022.atlassian.net/browse/GDPW-1855" TargetMode="External"/><Relationship Id="rId8" Type="http://schemas.openxmlformats.org/officeDocument/2006/relationships/hyperlink" Target="https://git.gcp.luquinsa.com.ar/luquin/issues/-/issues/9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10.38"/>
    <col customWidth="1" min="2" max="2" width="18.5"/>
    <col customWidth="1" min="3" max="3" width="14.5"/>
    <col customWidth="1" min="4" max="4" width="19.0"/>
    <col customWidth="1" min="5" max="5" width="23.0"/>
    <col customWidth="1" min="6" max="6" width="28.13"/>
    <col customWidth="1" min="7" max="7" width="18.13"/>
    <col customWidth="1" min="8" max="8" width="26.25"/>
    <col customWidth="1" min="9" max="9" width="17.88"/>
    <col customWidth="1" min="10" max="10" width="14.0"/>
    <col customWidth="1" min="11" max="11" width="13.25"/>
    <col customWidth="1" min="12" max="12" width="12.63"/>
    <col customWidth="1" min="13" max="13" width="15.63"/>
    <col customWidth="1" min="14" max="14" width="14.38"/>
    <col customWidth="1" min="15" max="15" width="12.63"/>
    <col customWidth="1" min="16" max="16" width="11.5"/>
    <col customWidth="1" min="17" max="17" width="21.25"/>
    <col customWidth="1" min="18" max="18" width="13.63"/>
    <col customWidth="1" min="19" max="19" width="14.0"/>
    <col customWidth="1" min="20" max="20" width="9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</row>
    <row r="2" ht="21.75" customHeight="1">
      <c r="A2" s="3" t="s">
        <v>20</v>
      </c>
      <c r="B2" s="4" t="s">
        <v>21</v>
      </c>
      <c r="C2" s="4" t="s">
        <v>21</v>
      </c>
      <c r="D2" s="4" t="s">
        <v>22</v>
      </c>
      <c r="E2" s="5" t="s">
        <v>23</v>
      </c>
      <c r="F2" s="4" t="s">
        <v>24</v>
      </c>
      <c r="G2" s="4" t="s">
        <v>25</v>
      </c>
      <c r="H2" s="6" t="s">
        <v>26</v>
      </c>
      <c r="I2" s="7" t="s">
        <v>27</v>
      </c>
      <c r="J2" s="6" t="s">
        <v>28</v>
      </c>
      <c r="K2" s="4" t="s">
        <v>29</v>
      </c>
      <c r="L2" s="8" t="s">
        <v>30</v>
      </c>
      <c r="M2" s="8"/>
      <c r="N2" s="8"/>
      <c r="O2" s="8"/>
      <c r="P2" s="9">
        <v>46113.0</v>
      </c>
      <c r="Q2" s="9">
        <v>46148.0</v>
      </c>
      <c r="R2" s="10"/>
      <c r="S2" s="11"/>
      <c r="T2" s="12" t="s">
        <v>31</v>
      </c>
    </row>
    <row r="3" ht="21.75" customHeight="1">
      <c r="A3" s="3" t="s">
        <v>32</v>
      </c>
      <c r="B3" s="4" t="s">
        <v>33</v>
      </c>
      <c r="C3" s="4" t="s">
        <v>33</v>
      </c>
      <c r="D3" s="4" t="s">
        <v>33</v>
      </c>
      <c r="E3" s="5" t="s">
        <v>34</v>
      </c>
      <c r="F3" s="4" t="s">
        <v>35</v>
      </c>
      <c r="G3" s="4" t="s">
        <v>36</v>
      </c>
      <c r="H3" s="6" t="s">
        <v>26</v>
      </c>
      <c r="I3" s="7" t="s">
        <v>37</v>
      </c>
      <c r="J3" s="6" t="s">
        <v>28</v>
      </c>
      <c r="K3" s="4" t="s">
        <v>29</v>
      </c>
      <c r="L3" s="8" t="s">
        <v>38</v>
      </c>
      <c r="M3" s="13"/>
      <c r="N3" s="13"/>
      <c r="O3" s="13"/>
      <c r="P3" s="4" t="s">
        <v>39</v>
      </c>
      <c r="Q3" s="9">
        <v>46148.0</v>
      </c>
      <c r="R3" s="10"/>
      <c r="S3" s="11"/>
      <c r="T3" s="12" t="s">
        <v>31</v>
      </c>
    </row>
    <row r="4" ht="21.75" customHeight="1">
      <c r="A4" s="3" t="s">
        <v>40</v>
      </c>
      <c r="B4" s="4" t="s">
        <v>41</v>
      </c>
      <c r="C4" s="4" t="s">
        <v>42</v>
      </c>
      <c r="D4" s="4" t="s">
        <v>41</v>
      </c>
      <c r="E4" s="14" t="s">
        <v>43</v>
      </c>
      <c r="F4" s="4" t="s">
        <v>44</v>
      </c>
      <c r="G4" s="4" t="s">
        <v>45</v>
      </c>
      <c r="H4" s="6" t="s">
        <v>46</v>
      </c>
      <c r="I4" s="7" t="s">
        <v>37</v>
      </c>
      <c r="J4" s="6" t="s">
        <v>28</v>
      </c>
      <c r="K4" s="4" t="s">
        <v>29</v>
      </c>
      <c r="L4" s="15" t="s">
        <v>30</v>
      </c>
      <c r="M4" s="15"/>
      <c r="N4" s="15"/>
      <c r="O4" s="15"/>
      <c r="P4" s="4" t="s">
        <v>39</v>
      </c>
      <c r="Q4" s="9">
        <v>46148.0</v>
      </c>
      <c r="R4" s="10"/>
      <c r="S4" s="11"/>
      <c r="T4" s="12" t="s">
        <v>31</v>
      </c>
    </row>
    <row r="5" ht="21.75" customHeight="1">
      <c r="A5" s="3" t="s">
        <v>47</v>
      </c>
      <c r="B5" s="4" t="s">
        <v>48</v>
      </c>
      <c r="C5" s="4" t="s">
        <v>49</v>
      </c>
      <c r="D5" s="4" t="s">
        <v>50</v>
      </c>
      <c r="E5" s="14" t="s">
        <v>51</v>
      </c>
      <c r="F5" s="4" t="s">
        <v>44</v>
      </c>
      <c r="G5" s="4" t="s">
        <v>45</v>
      </c>
      <c r="H5" s="6" t="s">
        <v>46</v>
      </c>
      <c r="I5" s="7" t="s">
        <v>52</v>
      </c>
      <c r="J5" s="6" t="s">
        <v>28</v>
      </c>
      <c r="K5" s="4" t="s">
        <v>29</v>
      </c>
      <c r="L5" s="15" t="s">
        <v>38</v>
      </c>
      <c r="M5" s="16"/>
      <c r="N5" s="16"/>
      <c r="O5" s="16"/>
      <c r="P5" s="4" t="s">
        <v>39</v>
      </c>
      <c r="Q5" s="9">
        <v>46148.0</v>
      </c>
      <c r="R5" s="10"/>
      <c r="S5" s="11"/>
      <c r="T5" s="12" t="s">
        <v>31</v>
      </c>
    </row>
    <row r="6" ht="21.75" customHeight="1">
      <c r="A6" s="3" t="s">
        <v>53</v>
      </c>
      <c r="B6" s="4" t="s">
        <v>54</v>
      </c>
      <c r="C6" s="4" t="s">
        <v>49</v>
      </c>
      <c r="D6" s="4" t="s">
        <v>55</v>
      </c>
      <c r="E6" s="14" t="s">
        <v>56</v>
      </c>
      <c r="F6" s="4" t="s">
        <v>44</v>
      </c>
      <c r="G6" s="4" t="s">
        <v>45</v>
      </c>
      <c r="H6" s="6" t="s">
        <v>46</v>
      </c>
      <c r="I6" s="7" t="s">
        <v>52</v>
      </c>
      <c r="J6" s="6" t="s">
        <v>57</v>
      </c>
      <c r="K6" s="4" t="s">
        <v>29</v>
      </c>
      <c r="L6" s="15" t="s">
        <v>30</v>
      </c>
      <c r="M6" s="16"/>
      <c r="N6" s="16"/>
      <c r="O6" s="16"/>
      <c r="P6" s="9">
        <v>46113.0</v>
      </c>
      <c r="Q6" s="9">
        <v>46148.0</v>
      </c>
      <c r="R6" s="10"/>
      <c r="S6" s="11"/>
      <c r="T6" s="12" t="s">
        <v>31</v>
      </c>
    </row>
    <row r="7" ht="21.75" customHeight="1">
      <c r="A7" s="3" t="s">
        <v>58</v>
      </c>
      <c r="B7" s="4" t="s">
        <v>59</v>
      </c>
      <c r="C7" s="4" t="s">
        <v>49</v>
      </c>
      <c r="D7" s="4" t="s">
        <v>60</v>
      </c>
      <c r="E7" s="14" t="s">
        <v>61</v>
      </c>
      <c r="F7" s="4" t="s">
        <v>44</v>
      </c>
      <c r="G7" s="4" t="s">
        <v>62</v>
      </c>
      <c r="H7" s="6" t="s">
        <v>26</v>
      </c>
      <c r="I7" s="7" t="s">
        <v>52</v>
      </c>
      <c r="J7" s="6" t="s">
        <v>57</v>
      </c>
      <c r="K7" s="4" t="s">
        <v>29</v>
      </c>
      <c r="L7" s="15" t="s">
        <v>30</v>
      </c>
      <c r="M7" s="16"/>
      <c r="N7" s="16"/>
      <c r="O7" s="16"/>
      <c r="P7" s="9">
        <v>46113.0</v>
      </c>
      <c r="Q7" s="9">
        <v>46148.0</v>
      </c>
      <c r="R7" s="10"/>
      <c r="S7" s="11"/>
      <c r="T7" s="12" t="s">
        <v>31</v>
      </c>
    </row>
    <row r="8" ht="21.75" customHeight="1">
      <c r="A8" s="3" t="s">
        <v>63</v>
      </c>
      <c r="B8" s="4" t="s">
        <v>64</v>
      </c>
      <c r="C8" s="4" t="s">
        <v>65</v>
      </c>
      <c r="D8" s="4" t="s">
        <v>66</v>
      </c>
      <c r="E8" s="14" t="s">
        <v>67</v>
      </c>
      <c r="F8" s="4" t="s">
        <v>68</v>
      </c>
      <c r="G8" s="4" t="s">
        <v>62</v>
      </c>
      <c r="H8" s="6" t="s">
        <v>26</v>
      </c>
      <c r="I8" s="7" t="s">
        <v>52</v>
      </c>
      <c r="J8" s="6" t="s">
        <v>57</v>
      </c>
      <c r="K8" s="4" t="s">
        <v>29</v>
      </c>
      <c r="L8" s="15" t="s">
        <v>30</v>
      </c>
      <c r="M8" s="16"/>
      <c r="N8" s="16"/>
      <c r="O8" s="16"/>
      <c r="P8" s="4" t="s">
        <v>39</v>
      </c>
      <c r="Q8" s="9">
        <v>46148.0</v>
      </c>
      <c r="R8" s="10"/>
      <c r="S8" s="11"/>
      <c r="T8" s="12" t="s">
        <v>31</v>
      </c>
    </row>
    <row r="9" ht="21.75" customHeight="1">
      <c r="A9" s="3" t="s">
        <v>69</v>
      </c>
      <c r="B9" s="4" t="s">
        <v>70</v>
      </c>
      <c r="C9" s="4" t="s">
        <v>65</v>
      </c>
      <c r="D9" s="4" t="s">
        <v>71</v>
      </c>
      <c r="E9" s="14" t="s">
        <v>72</v>
      </c>
      <c r="F9" s="4" t="s">
        <v>68</v>
      </c>
      <c r="G9" s="4" t="s">
        <v>73</v>
      </c>
      <c r="H9" s="6" t="s">
        <v>46</v>
      </c>
      <c r="I9" s="7" t="s">
        <v>52</v>
      </c>
      <c r="J9" s="6" t="s">
        <v>57</v>
      </c>
      <c r="K9" s="4" t="s">
        <v>29</v>
      </c>
      <c r="L9" s="15" t="s">
        <v>30</v>
      </c>
      <c r="M9" s="16"/>
      <c r="N9" s="16"/>
      <c r="O9" s="16"/>
      <c r="P9" s="4" t="s">
        <v>39</v>
      </c>
      <c r="Q9" s="9">
        <v>46148.0</v>
      </c>
      <c r="R9" s="10"/>
      <c r="S9" s="11"/>
      <c r="T9" s="12" t="s">
        <v>31</v>
      </c>
    </row>
    <row r="10" ht="21.75" customHeight="1">
      <c r="A10" s="3" t="s">
        <v>74</v>
      </c>
      <c r="B10" s="4" t="s">
        <v>75</v>
      </c>
      <c r="C10" s="4" t="s">
        <v>75</v>
      </c>
      <c r="D10" s="4" t="s">
        <v>75</v>
      </c>
      <c r="E10" s="14" t="s">
        <v>76</v>
      </c>
      <c r="F10" s="4" t="s">
        <v>68</v>
      </c>
      <c r="G10" s="4" t="s">
        <v>73</v>
      </c>
      <c r="H10" s="6" t="s">
        <v>26</v>
      </c>
      <c r="I10" s="7" t="s">
        <v>37</v>
      </c>
      <c r="J10" s="6" t="s">
        <v>28</v>
      </c>
      <c r="K10" s="4" t="s">
        <v>29</v>
      </c>
      <c r="L10" s="15" t="s">
        <v>30</v>
      </c>
      <c r="M10" s="15"/>
      <c r="N10" s="15"/>
      <c r="O10" s="15"/>
      <c r="P10" s="4" t="s">
        <v>77</v>
      </c>
      <c r="Q10" s="9">
        <v>46148.0</v>
      </c>
      <c r="R10" s="10"/>
      <c r="S10" s="17"/>
      <c r="T10" s="12" t="s">
        <v>31</v>
      </c>
    </row>
    <row r="11" ht="21.75" customHeight="1">
      <c r="A11" s="3" t="s">
        <v>78</v>
      </c>
      <c r="B11" s="4" t="s">
        <v>79</v>
      </c>
      <c r="C11" s="4" t="s">
        <v>79</v>
      </c>
      <c r="D11" s="4" t="s">
        <v>79</v>
      </c>
      <c r="E11" s="18" t="s">
        <v>80</v>
      </c>
      <c r="F11" s="4" t="s">
        <v>68</v>
      </c>
      <c r="G11" s="19"/>
      <c r="H11" s="6" t="s">
        <v>81</v>
      </c>
      <c r="I11" s="7" t="s">
        <v>52</v>
      </c>
      <c r="J11" s="6" t="s">
        <v>28</v>
      </c>
      <c r="K11" s="4" t="s">
        <v>29</v>
      </c>
      <c r="L11" s="18" t="s">
        <v>30</v>
      </c>
      <c r="M11" s="18"/>
      <c r="N11" s="18"/>
      <c r="O11" s="18"/>
      <c r="P11" s="9">
        <v>46113.0</v>
      </c>
      <c r="Q11" s="9">
        <v>46148.0</v>
      </c>
      <c r="R11" s="10"/>
      <c r="S11" s="11"/>
      <c r="T11" s="12" t="s">
        <v>31</v>
      </c>
    </row>
    <row r="12" ht="21.75" customHeight="1">
      <c r="A12" s="3" t="s">
        <v>82</v>
      </c>
      <c r="B12" s="4" t="s">
        <v>83</v>
      </c>
      <c r="C12" s="4" t="s">
        <v>84</v>
      </c>
      <c r="D12" s="4" t="s">
        <v>84</v>
      </c>
      <c r="E12" s="20" t="s">
        <v>85</v>
      </c>
      <c r="F12" s="4" t="s">
        <v>68</v>
      </c>
      <c r="G12" s="4" t="s">
        <v>86</v>
      </c>
      <c r="H12" s="6" t="s">
        <v>81</v>
      </c>
      <c r="I12" s="7" t="s">
        <v>52</v>
      </c>
      <c r="J12" s="6" t="s">
        <v>28</v>
      </c>
      <c r="K12" s="4" t="s">
        <v>29</v>
      </c>
      <c r="L12" s="21" t="s">
        <v>30</v>
      </c>
      <c r="M12" s="22"/>
      <c r="N12" s="22"/>
      <c r="O12" s="22"/>
      <c r="P12" s="9">
        <v>46113.0</v>
      </c>
      <c r="Q12" s="9">
        <v>46148.0</v>
      </c>
      <c r="R12" s="10"/>
      <c r="S12" s="11"/>
      <c r="T12" s="12" t="s">
        <v>31</v>
      </c>
    </row>
    <row r="13" ht="21.75" customHeight="1">
      <c r="A13" s="3" t="s">
        <v>87</v>
      </c>
      <c r="B13" s="4" t="s">
        <v>88</v>
      </c>
      <c r="C13" s="4" t="s">
        <v>89</v>
      </c>
      <c r="D13" s="4" t="s">
        <v>88</v>
      </c>
      <c r="E13" s="20" t="s">
        <v>90</v>
      </c>
      <c r="F13" s="4" t="s">
        <v>91</v>
      </c>
      <c r="G13" s="4" t="s">
        <v>36</v>
      </c>
      <c r="H13" s="6" t="s">
        <v>81</v>
      </c>
      <c r="I13" s="7" t="s">
        <v>37</v>
      </c>
      <c r="J13" s="6" t="s">
        <v>57</v>
      </c>
      <c r="K13" s="4" t="s">
        <v>29</v>
      </c>
      <c r="L13" s="21" t="s">
        <v>30</v>
      </c>
      <c r="M13" s="22"/>
      <c r="N13" s="22"/>
      <c r="O13" s="22"/>
      <c r="P13" s="4" t="s">
        <v>77</v>
      </c>
      <c r="Q13" s="9">
        <v>46148.0</v>
      </c>
      <c r="R13" s="10"/>
      <c r="S13" s="11"/>
      <c r="T13" s="12" t="s">
        <v>31</v>
      </c>
    </row>
    <row r="14" ht="21.75" customHeight="1">
      <c r="A14" s="3" t="s">
        <v>92</v>
      </c>
      <c r="B14" s="4" t="s">
        <v>93</v>
      </c>
      <c r="C14" s="4" t="s">
        <v>94</v>
      </c>
      <c r="D14" s="4" t="s">
        <v>95</v>
      </c>
      <c r="E14" s="20" t="s">
        <v>96</v>
      </c>
      <c r="F14" s="4" t="s">
        <v>44</v>
      </c>
      <c r="G14" s="4" t="s">
        <v>36</v>
      </c>
      <c r="H14" s="6" t="s">
        <v>81</v>
      </c>
      <c r="I14" s="7" t="s">
        <v>37</v>
      </c>
      <c r="J14" s="6" t="s">
        <v>57</v>
      </c>
      <c r="K14" s="4" t="s">
        <v>29</v>
      </c>
      <c r="L14" s="21" t="s">
        <v>30</v>
      </c>
      <c r="M14" s="21"/>
      <c r="N14" s="21"/>
      <c r="O14" s="21"/>
      <c r="P14" s="9">
        <v>46113.0</v>
      </c>
      <c r="Q14" s="9">
        <v>46148.0</v>
      </c>
      <c r="R14" s="10"/>
      <c r="S14" s="11"/>
      <c r="T14" s="12" t="s">
        <v>31</v>
      </c>
    </row>
    <row r="15" ht="21.75" customHeight="1">
      <c r="A15" s="3" t="s">
        <v>97</v>
      </c>
      <c r="B15" s="4" t="s">
        <v>98</v>
      </c>
      <c r="C15" s="4" t="s">
        <v>94</v>
      </c>
      <c r="D15" s="4" t="s">
        <v>99</v>
      </c>
      <c r="E15" s="20" t="s">
        <v>100</v>
      </c>
      <c r="F15" s="4" t="s">
        <v>68</v>
      </c>
      <c r="G15" s="4" t="s">
        <v>36</v>
      </c>
      <c r="H15" s="6" t="s">
        <v>81</v>
      </c>
      <c r="I15" s="7" t="s">
        <v>37</v>
      </c>
      <c r="J15" s="6" t="s">
        <v>57</v>
      </c>
      <c r="K15" s="4" t="s">
        <v>29</v>
      </c>
      <c r="L15" s="21" t="s">
        <v>30</v>
      </c>
      <c r="M15" s="21"/>
      <c r="N15" s="21"/>
      <c r="O15" s="21"/>
      <c r="P15" s="4" t="s">
        <v>39</v>
      </c>
      <c r="Q15" s="9">
        <v>46148.0</v>
      </c>
      <c r="R15" s="10"/>
      <c r="S15" s="11"/>
      <c r="T15" s="12" t="s">
        <v>31</v>
      </c>
    </row>
    <row r="16" ht="15.75" customHeight="1">
      <c r="A16" s="23" t="s">
        <v>101</v>
      </c>
      <c r="B16" s="24" t="s">
        <v>102</v>
      </c>
      <c r="C16" s="25" t="s">
        <v>102</v>
      </c>
      <c r="D16" s="25" t="s">
        <v>102</v>
      </c>
      <c r="E16" s="26" t="s">
        <v>103</v>
      </c>
      <c r="F16" s="24" t="s">
        <v>104</v>
      </c>
      <c r="G16" s="25" t="s">
        <v>36</v>
      </c>
      <c r="H16" s="27"/>
      <c r="I16" s="28" t="s">
        <v>52</v>
      </c>
      <c r="J16" s="29" t="s">
        <v>57</v>
      </c>
      <c r="K16" s="25" t="s">
        <v>29</v>
      </c>
      <c r="L16" s="30" t="s">
        <v>30</v>
      </c>
      <c r="M16" s="30"/>
      <c r="N16" s="30"/>
      <c r="O16" s="30"/>
      <c r="P16" s="31" t="s">
        <v>105</v>
      </c>
      <c r="Q16" s="32">
        <v>46148.0</v>
      </c>
      <c r="R16" s="33"/>
      <c r="S16" s="34"/>
      <c r="T16" s="35" t="s">
        <v>31</v>
      </c>
    </row>
    <row r="17" ht="15.75" customHeight="1">
      <c r="A17" s="23"/>
      <c r="B17" s="24"/>
      <c r="C17" s="25"/>
      <c r="D17" s="25"/>
      <c r="E17" s="30"/>
      <c r="F17" s="24"/>
      <c r="G17" s="25"/>
      <c r="H17" s="27"/>
      <c r="I17" s="28"/>
      <c r="J17" s="29"/>
      <c r="K17" s="25"/>
      <c r="L17" s="30"/>
      <c r="M17" s="30"/>
      <c r="N17" s="30"/>
      <c r="O17" s="30"/>
      <c r="P17" s="32"/>
      <c r="Q17" s="32"/>
      <c r="R17" s="36"/>
      <c r="S17" s="35"/>
      <c r="T17" s="35"/>
    </row>
    <row r="18" ht="15.75" customHeight="1">
      <c r="A18" s="23"/>
      <c r="B18" s="24"/>
      <c r="C18" s="25"/>
      <c r="D18" s="25"/>
      <c r="E18" s="30"/>
      <c r="F18" s="24"/>
      <c r="G18" s="25"/>
      <c r="H18" s="27"/>
      <c r="I18" s="28"/>
      <c r="J18" s="29"/>
      <c r="K18" s="25"/>
      <c r="L18" s="30"/>
      <c r="M18" s="30"/>
      <c r="N18" s="30"/>
      <c r="O18" s="30"/>
      <c r="P18" s="32"/>
      <c r="Q18" s="32"/>
      <c r="R18" s="36"/>
      <c r="S18" s="35"/>
      <c r="T18" s="35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list" allowBlank="1" sqref="H2:H18">
      <formula1>"A definir,VTEX ↔ VTEX,Externo → Seller Center,API Seller Center,Externo → VTEX,Híbrido / Transitorio,No aplica"</formula1>
    </dataValidation>
    <dataValidation type="list" allowBlank="1" sqref="I2:I18">
      <formula1>"identificados,contactos,evaluación,definición,listo_integrar,integración,live"</formula1>
    </dataValidation>
    <dataValidation type="list" allowBlank="1" sqref="J2:J18">
      <formula1>"Alta,Media,Baja"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</hyperlinks>
  <printOptions/>
  <pageMargins bottom="1.0" footer="0.0" header="0.0" left="0.75" right="0.75" top="1.0"/>
  <pageSetup orientation="landscape"/>
  <drawing r:id="rId16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38"/>
    <col customWidth="1" min="2" max="2" width="18.0"/>
    <col customWidth="1" min="3" max="3" width="24.75"/>
    <col customWidth="1" min="4" max="4" width="18.38"/>
    <col customWidth="1" min="5" max="5" width="13.5"/>
    <col customWidth="1" min="6" max="6" width="25.5"/>
    <col customWidth="1" min="7" max="7" width="16.25"/>
    <col customWidth="1" min="8" max="8" width="15.0"/>
    <col customWidth="1" min="9" max="9" width="19.25"/>
    <col customWidth="1" min="10" max="10" width="26.5"/>
    <col customWidth="1" min="11" max="11" width="10.38"/>
    <col customWidth="1" min="12" max="12" width="3.88"/>
    <col customWidth="1" min="13" max="13" width="3.63"/>
    <col customWidth="1" min="14" max="14" width="27.13"/>
    <col customWidth="1" min="15" max="15" width="17.5"/>
    <col customWidth="1" min="16" max="16" width="12.25"/>
    <col customWidth="1" min="17" max="17" width="15.25"/>
    <col customWidth="1" min="18" max="18" width="16.88"/>
    <col customWidth="1" min="19" max="19" width="10.13"/>
    <col customWidth="1" min="20" max="20" width="11.88"/>
    <col customWidth="1" min="21" max="21" width="79.0"/>
    <col customWidth="1" min="22" max="22" width="43.75"/>
    <col customWidth="1" min="23" max="23" width="39.25"/>
    <col customWidth="1" min="24" max="24" width="39.0"/>
    <col customWidth="1" min="25" max="25" width="73.38"/>
    <col customWidth="1" min="26" max="26" width="52.5"/>
    <col customWidth="1" min="27" max="27" width="47.13"/>
    <col customWidth="1" min="28" max="28" width="19.38"/>
    <col customWidth="1" min="29" max="29" width="23.5"/>
    <col customWidth="1" min="30" max="30" width="17.63"/>
    <col customWidth="1" min="31" max="31" width="19.25"/>
    <col customWidth="1" min="32" max="32" width="135.75"/>
    <col customWidth="1" min="33" max="33" width="89.5"/>
    <col customWidth="1" min="34" max="34" width="47.88"/>
    <col customWidth="1" min="35" max="35" width="29.25"/>
    <col customWidth="1" min="36" max="36" width="45.0"/>
    <col customWidth="1" min="37" max="37" width="20.5"/>
    <col customWidth="1" min="38" max="38" width="50.13"/>
    <col customWidth="1" min="39" max="39" width="55.13"/>
    <col customWidth="1" min="40" max="40" width="20.5"/>
    <col customWidth="1" min="41" max="41" width="22.13"/>
    <col customWidth="1" min="42" max="42" width="88.13"/>
  </cols>
  <sheetData>
    <row r="1">
      <c r="A1" s="37" t="s">
        <v>0</v>
      </c>
      <c r="B1" s="37" t="s">
        <v>106</v>
      </c>
      <c r="C1" s="37" t="s">
        <v>16</v>
      </c>
      <c r="D1" s="37" t="s">
        <v>107</v>
      </c>
      <c r="E1" s="37" t="s">
        <v>108</v>
      </c>
      <c r="F1" s="37" t="s">
        <v>109</v>
      </c>
      <c r="G1" s="37" t="s">
        <v>110</v>
      </c>
      <c r="H1" s="37" t="s">
        <v>111</v>
      </c>
      <c r="I1" s="37" t="s">
        <v>112</v>
      </c>
      <c r="J1" s="37" t="s">
        <v>113</v>
      </c>
      <c r="K1" s="37" t="s">
        <v>114</v>
      </c>
      <c r="L1" s="37" t="s">
        <v>115</v>
      </c>
      <c r="M1" s="37" t="s">
        <v>116</v>
      </c>
      <c r="N1" s="37" t="s">
        <v>117</v>
      </c>
      <c r="O1" s="37" t="s">
        <v>118</v>
      </c>
      <c r="P1" s="37" t="s">
        <v>119</v>
      </c>
      <c r="Q1" s="37" t="s">
        <v>120</v>
      </c>
      <c r="R1" s="37" t="s">
        <v>121</v>
      </c>
      <c r="S1" s="37" t="s">
        <v>122</v>
      </c>
      <c r="T1" s="37" t="s">
        <v>123</v>
      </c>
      <c r="U1" s="37" t="s">
        <v>124</v>
      </c>
      <c r="V1" s="37" t="s">
        <v>125</v>
      </c>
      <c r="W1" s="37" t="s">
        <v>126</v>
      </c>
      <c r="X1" s="37" t="s">
        <v>127</v>
      </c>
      <c r="Y1" s="37" t="s">
        <v>128</v>
      </c>
      <c r="Z1" s="37" t="s">
        <v>129</v>
      </c>
      <c r="AA1" s="37" t="s">
        <v>130</v>
      </c>
      <c r="AB1" s="37" t="s">
        <v>131</v>
      </c>
      <c r="AC1" s="37" t="s">
        <v>132</v>
      </c>
      <c r="AD1" s="37" t="s">
        <v>133</v>
      </c>
      <c r="AE1" s="37" t="s">
        <v>134</v>
      </c>
      <c r="AF1" s="37" t="s">
        <v>135</v>
      </c>
      <c r="AG1" s="37" t="s">
        <v>136</v>
      </c>
      <c r="AH1" s="37" t="s">
        <v>137</v>
      </c>
      <c r="AI1" s="37" t="s">
        <v>138</v>
      </c>
      <c r="AJ1" s="37" t="s">
        <v>139</v>
      </c>
      <c r="AK1" s="37" t="s">
        <v>140</v>
      </c>
      <c r="AL1" s="37" t="s">
        <v>141</v>
      </c>
      <c r="AM1" s="37" t="s">
        <v>17</v>
      </c>
      <c r="AN1" s="37" t="s">
        <v>142</v>
      </c>
      <c r="AO1" s="37" t="s">
        <v>143</v>
      </c>
      <c r="AP1" s="37" t="s">
        <v>18</v>
      </c>
    </row>
    <row r="2">
      <c r="A2" s="38" t="s">
        <v>20</v>
      </c>
      <c r="B2" s="39">
        <v>46144.54108796296</v>
      </c>
      <c r="C2" s="39">
        <v>46144.54108796296</v>
      </c>
      <c r="D2" s="38" t="s">
        <v>144</v>
      </c>
      <c r="E2" s="38" t="s">
        <v>21</v>
      </c>
      <c r="F2" s="38" t="s">
        <v>145</v>
      </c>
      <c r="G2" s="38" t="s">
        <v>146</v>
      </c>
      <c r="H2" s="38" t="s">
        <v>147</v>
      </c>
      <c r="I2" s="38" t="s">
        <v>57</v>
      </c>
      <c r="J2" s="38" t="s">
        <v>146</v>
      </c>
      <c r="U2" s="38" t="s">
        <v>148</v>
      </c>
      <c r="V2" s="38" t="s">
        <v>149</v>
      </c>
      <c r="W2" s="38" t="s">
        <v>150</v>
      </c>
      <c r="X2" s="38" t="s">
        <v>151</v>
      </c>
      <c r="Y2" s="38" t="s">
        <v>152</v>
      </c>
      <c r="Z2" s="38" t="s">
        <v>153</v>
      </c>
      <c r="AA2" s="38" t="s">
        <v>154</v>
      </c>
      <c r="AB2" s="38" t="s">
        <v>155</v>
      </c>
      <c r="AD2" s="38" t="s">
        <v>38</v>
      </c>
      <c r="AF2" s="38" t="s">
        <v>156</v>
      </c>
      <c r="AG2" s="38" t="s">
        <v>157</v>
      </c>
      <c r="AH2" s="38" t="s">
        <v>158</v>
      </c>
      <c r="AI2" s="38" t="s">
        <v>159</v>
      </c>
      <c r="AJ2" s="38" t="s">
        <v>160</v>
      </c>
      <c r="AK2" s="38" t="s">
        <v>161</v>
      </c>
      <c r="AL2" s="38" t="s">
        <v>162</v>
      </c>
      <c r="AM2" s="38" t="s">
        <v>163</v>
      </c>
      <c r="AP2" s="38" t="s">
        <v>164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38"/>
    <col customWidth="1" min="2" max="2" width="18.0"/>
    <col customWidth="1" min="3" max="3" width="17.88"/>
    <col customWidth="1" min="4" max="4" width="11.38"/>
    <col customWidth="1" min="5" max="5" width="7.75"/>
    <col customWidth="1" min="6" max="6" width="16.38"/>
    <col customWidth="1" min="7" max="7" width="23.38"/>
    <col customWidth="1" min="8" max="8" width="11.75"/>
    <col customWidth="1" min="9" max="9" width="15.25"/>
    <col customWidth="1" min="10" max="10" width="12.75"/>
    <col customWidth="1" min="11" max="11" width="13.5"/>
    <col customWidth="1" min="12" max="12" width="10.38"/>
    <col customWidth="1" min="13" max="13" width="3.88"/>
    <col customWidth="1" min="14" max="14" width="20.0"/>
    <col customWidth="1" min="15" max="15" width="17.0"/>
    <col customWidth="1" min="16" max="16" width="17.5"/>
    <col customWidth="1" min="17" max="17" width="22.13"/>
    <col customWidth="1" min="18" max="18" width="11.88"/>
    <col customWidth="1" min="19" max="19" width="25.5"/>
    <col customWidth="1" min="20" max="20" width="16.25"/>
    <col customWidth="1" min="21" max="21" width="15.0"/>
  </cols>
  <sheetData>
    <row r="1">
      <c r="A1" s="37" t="s">
        <v>0</v>
      </c>
      <c r="B1" s="37" t="s">
        <v>165</v>
      </c>
      <c r="C1" s="37" t="s">
        <v>166</v>
      </c>
      <c r="D1" s="37" t="s">
        <v>167</v>
      </c>
      <c r="E1" s="37" t="s">
        <v>168</v>
      </c>
      <c r="F1" s="37" t="s">
        <v>12</v>
      </c>
      <c r="G1" s="37" t="s">
        <v>13</v>
      </c>
      <c r="H1" s="37" t="s">
        <v>169</v>
      </c>
      <c r="I1" s="37" t="s">
        <v>120</v>
      </c>
      <c r="J1" s="37" t="s">
        <v>170</v>
      </c>
      <c r="K1" s="37" t="s">
        <v>171</v>
      </c>
      <c r="L1" s="37" t="s">
        <v>114</v>
      </c>
      <c r="M1" s="37" t="s">
        <v>115</v>
      </c>
      <c r="N1" s="37" t="s">
        <v>172</v>
      </c>
      <c r="O1" s="37" t="s">
        <v>173</v>
      </c>
      <c r="P1" s="37" t="s">
        <v>118</v>
      </c>
      <c r="Q1" s="37" t="s">
        <v>174</v>
      </c>
      <c r="R1" s="37" t="s">
        <v>175</v>
      </c>
      <c r="S1" s="37" t="s">
        <v>176</v>
      </c>
      <c r="T1" s="37" t="s">
        <v>110</v>
      </c>
      <c r="U1" s="37" t="s">
        <v>111</v>
      </c>
    </row>
    <row r="2">
      <c r="A2" s="38" t="s">
        <v>20</v>
      </c>
      <c r="B2" s="39">
        <v>46144.539189814815</v>
      </c>
      <c r="C2" s="38" t="s">
        <v>177</v>
      </c>
      <c r="D2" s="40">
        <v>0.86</v>
      </c>
      <c r="E2" s="38" t="s">
        <v>21</v>
      </c>
      <c r="F2" s="38" t="s">
        <v>178</v>
      </c>
      <c r="G2" s="38" t="s">
        <v>179</v>
      </c>
      <c r="H2" s="38" t="s">
        <v>24</v>
      </c>
      <c r="I2" s="38" t="s">
        <v>180</v>
      </c>
      <c r="J2" s="38" t="s">
        <v>181</v>
      </c>
      <c r="K2" s="38" t="s">
        <v>182</v>
      </c>
      <c r="L2" s="38" t="s">
        <v>45</v>
      </c>
      <c r="M2" s="38" t="s">
        <v>181</v>
      </c>
      <c r="N2" s="38" t="s">
        <v>183</v>
      </c>
      <c r="O2" s="38" t="s">
        <v>184</v>
      </c>
      <c r="P2" s="38" t="s">
        <v>155</v>
      </c>
      <c r="S2" s="38" t="s">
        <v>145</v>
      </c>
      <c r="T2" s="38" t="s">
        <v>146</v>
      </c>
      <c r="U2" s="38" t="s">
        <v>147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18.0"/>
    <col customWidth="1" min="3" max="3" width="21.25"/>
    <col customWidth="1" min="4" max="4" width="17.75"/>
    <col customWidth="1" min="6" max="6" width="24.88"/>
    <col customWidth="1" min="8" max="8" width="24.88"/>
    <col customWidth="1" min="9" max="9" width="24.5"/>
    <col customWidth="1" min="10" max="10" width="15.88"/>
    <col customWidth="1" min="11" max="11" width="16.75"/>
    <col customWidth="1" min="12" max="12" width="20.63"/>
    <col customWidth="1" min="13" max="13" width="21.38"/>
    <col customWidth="1" min="14" max="14" width="13.13"/>
    <col customWidth="1" min="15" max="15" width="18.75"/>
    <col customWidth="1" min="16" max="16" width="24.5"/>
    <col customWidth="1" min="17" max="17" width="14.88"/>
    <col customWidth="1" min="18" max="18" width="17.0"/>
    <col customWidth="1" min="19" max="19" width="26.88"/>
    <col customWidth="1" min="20" max="20" width="25.13"/>
    <col customWidth="1" min="21" max="21" width="22.0"/>
    <col customWidth="1" min="22" max="22" width="20.13"/>
    <col customWidth="1" min="23" max="23" width="22.38"/>
    <col customWidth="1" min="24" max="24" width="20.5"/>
    <col customWidth="1" min="25" max="25" width="24.38"/>
    <col customWidth="1" min="26" max="26" width="22.63"/>
    <col customWidth="1" min="27" max="27" width="13.63"/>
    <col customWidth="1" min="31" max="31" width="14.25"/>
    <col customWidth="1" min="32" max="32" width="20.63"/>
    <col customWidth="1" min="33" max="33" width="13.88"/>
    <col customWidth="1" min="34" max="34" width="20.13"/>
    <col customWidth="1" min="35" max="35" width="18.0"/>
    <col customWidth="1" min="36" max="36" width="18.25"/>
    <col customWidth="1" min="37" max="37" width="18.88"/>
    <col customWidth="1" min="38" max="38" width="16.75"/>
    <col customWidth="1" min="39" max="39" width="17.25"/>
    <col customWidth="1" min="41" max="41" width="18.13"/>
    <col customWidth="1" min="42" max="42" width="16.5"/>
    <col customWidth="1" min="43" max="43" width="20.63"/>
    <col customWidth="1" min="44" max="44" width="19.25"/>
    <col customWidth="1" min="46" max="46" width="19.63"/>
    <col customWidth="1" min="47" max="47" width="14.13"/>
    <col customWidth="1" min="48" max="48" width="20.75"/>
    <col customWidth="1" min="49" max="49" width="18.25"/>
    <col customWidth="1" min="50" max="50" width="22.88"/>
    <col customWidth="1" min="51" max="51" width="18.13"/>
    <col customWidth="1" min="52" max="52" width="21.5"/>
    <col customWidth="1" min="53" max="53" width="15.38"/>
    <col customWidth="1" min="54" max="54" width="13.25"/>
    <col customWidth="1" min="55" max="55" width="20.75"/>
    <col customWidth="1" min="56" max="56" width="17.63"/>
    <col customWidth="1" min="57" max="57" width="24.25"/>
    <col customWidth="1" min="58" max="58" width="13.13"/>
    <col customWidth="1" min="59" max="59" width="15.63"/>
    <col customWidth="1" min="60" max="61" width="17.13"/>
    <col customWidth="1" min="62" max="62" width="14.63"/>
    <col customWidth="1" min="63" max="63" width="13.88"/>
    <col customWidth="1" min="64" max="64" width="15.63"/>
    <col customWidth="1" min="66" max="66" width="14.63"/>
    <col customWidth="1" min="67" max="67" width="15.13"/>
    <col customWidth="1" min="69" max="69" width="20.25"/>
    <col customWidth="1" min="70" max="70" width="18.25"/>
    <col customWidth="1" min="71" max="71" width="19.38"/>
    <col customWidth="1" min="72" max="72" width="24.25"/>
    <col customWidth="1" min="73" max="73" width="16.5"/>
    <col customWidth="1" min="74" max="74" width="18.88"/>
    <col customWidth="1" min="75" max="75" width="22.0"/>
    <col customWidth="1" min="77" max="77" width="13.0"/>
    <col customWidth="1" min="78" max="78" width="21.88"/>
    <col customWidth="1" min="79" max="79" width="15.25"/>
    <col customWidth="1" min="80" max="80" width="15.63"/>
    <col customWidth="1" min="81" max="81" width="20.0"/>
    <col customWidth="1" min="82" max="82" width="13.13"/>
    <col customWidth="1" min="83" max="83" width="15.13"/>
    <col customWidth="1" min="84" max="84" width="15.5"/>
    <col customWidth="1" min="85" max="85" width="12.75"/>
    <col customWidth="1" min="86" max="86" width="15.0"/>
    <col customWidth="1" min="87" max="87" width="17.0"/>
    <col customWidth="1" min="88" max="88" width="22.13"/>
    <col customWidth="1" min="89" max="89" width="15.75"/>
    <col customWidth="1" min="90" max="90" width="14.0"/>
    <col customWidth="1" min="91" max="91" width="17.38"/>
    <col customWidth="1" min="92" max="92" width="15.0"/>
    <col customWidth="1" min="93" max="93" width="22.63"/>
    <col customWidth="1" min="94" max="94" width="16.0"/>
    <col customWidth="1" min="95" max="95" width="15.0"/>
    <col customWidth="1" min="96" max="96" width="14.63"/>
    <col customWidth="1" min="97" max="97" width="17.63"/>
    <col customWidth="1" min="99" max="99" width="17.75"/>
    <col customWidth="1" min="100" max="100" width="16.38"/>
    <col customWidth="1" min="102" max="102" width="16.0"/>
    <col customWidth="1" min="103" max="103" width="17.88"/>
    <col customWidth="1" min="104" max="104" width="19.0"/>
    <col customWidth="1" min="105" max="105" width="22.38"/>
    <col customWidth="1" min="106" max="106" width="21.5"/>
    <col customWidth="1" min="107" max="107" width="17.5"/>
    <col customWidth="1" min="108" max="108" width="14.75"/>
  </cols>
  <sheetData>
    <row r="1" ht="22.5" customHeight="1">
      <c r="A1" s="41" t="s">
        <v>0</v>
      </c>
      <c r="B1" s="41" t="s">
        <v>165</v>
      </c>
      <c r="C1" s="41" t="s">
        <v>185</v>
      </c>
      <c r="D1" s="41" t="s">
        <v>167</v>
      </c>
      <c r="E1" s="41" t="s">
        <v>168</v>
      </c>
      <c r="F1" s="41" t="s">
        <v>186</v>
      </c>
      <c r="G1" s="41" t="s">
        <v>187</v>
      </c>
      <c r="H1" s="41" t="s">
        <v>188</v>
      </c>
      <c r="I1" s="41" t="s">
        <v>189</v>
      </c>
      <c r="J1" s="41" t="s">
        <v>190</v>
      </c>
      <c r="K1" s="41" t="s">
        <v>191</v>
      </c>
      <c r="L1" s="41" t="s">
        <v>192</v>
      </c>
      <c r="M1" s="41" t="s">
        <v>193</v>
      </c>
      <c r="N1" s="41" t="s">
        <v>169</v>
      </c>
      <c r="O1" s="41" t="s">
        <v>12</v>
      </c>
      <c r="P1" s="41" t="s">
        <v>13</v>
      </c>
      <c r="Q1" s="41" t="s">
        <v>14</v>
      </c>
      <c r="R1" s="41" t="s">
        <v>194</v>
      </c>
      <c r="S1" s="41" t="s">
        <v>195</v>
      </c>
      <c r="T1" s="41" t="s">
        <v>196</v>
      </c>
      <c r="U1" s="41" t="s">
        <v>197</v>
      </c>
      <c r="V1" s="41" t="s">
        <v>198</v>
      </c>
      <c r="W1" s="41" t="s">
        <v>199</v>
      </c>
      <c r="X1" s="41" t="s">
        <v>200</v>
      </c>
      <c r="Y1" s="41" t="s">
        <v>201</v>
      </c>
      <c r="Z1" s="41" t="s">
        <v>202</v>
      </c>
      <c r="AA1" s="41" t="s">
        <v>114</v>
      </c>
      <c r="AB1" s="41" t="s">
        <v>115</v>
      </c>
      <c r="AC1" s="41" t="s">
        <v>203</v>
      </c>
      <c r="AD1" s="41" t="s">
        <v>116</v>
      </c>
      <c r="AE1" s="41" t="s">
        <v>204</v>
      </c>
      <c r="AF1" s="41" t="s">
        <v>205</v>
      </c>
      <c r="AG1" s="41" t="s">
        <v>206</v>
      </c>
      <c r="AH1" s="41" t="s">
        <v>207</v>
      </c>
      <c r="AI1" s="41" t="s">
        <v>208</v>
      </c>
      <c r="AJ1" s="41" t="s">
        <v>209</v>
      </c>
      <c r="AK1" s="41" t="s">
        <v>121</v>
      </c>
      <c r="AL1" s="41" t="s">
        <v>210</v>
      </c>
      <c r="AM1" s="41" t="s">
        <v>120</v>
      </c>
      <c r="AN1" s="41" t="s">
        <v>211</v>
      </c>
      <c r="AO1" s="41" t="s">
        <v>212</v>
      </c>
      <c r="AP1" s="41" t="s">
        <v>213</v>
      </c>
      <c r="AQ1" s="41" t="s">
        <v>214</v>
      </c>
      <c r="AR1" s="41" t="s">
        <v>215</v>
      </c>
      <c r="AS1" s="41" t="s">
        <v>216</v>
      </c>
      <c r="AT1" s="41" t="s">
        <v>217</v>
      </c>
      <c r="AU1" s="41" t="s">
        <v>218</v>
      </c>
      <c r="AV1" s="41" t="s">
        <v>219</v>
      </c>
      <c r="AW1" s="41" t="s">
        <v>220</v>
      </c>
      <c r="AX1" s="41" t="s">
        <v>221</v>
      </c>
      <c r="AY1" s="41" t="s">
        <v>222</v>
      </c>
      <c r="AZ1" s="41" t="s">
        <v>223</v>
      </c>
      <c r="BA1" s="41" t="s">
        <v>224</v>
      </c>
      <c r="BB1" s="41" t="s">
        <v>225</v>
      </c>
      <c r="BC1" s="41" t="s">
        <v>226</v>
      </c>
      <c r="BD1" s="41" t="s">
        <v>227</v>
      </c>
      <c r="BE1" s="41" t="s">
        <v>228</v>
      </c>
      <c r="BF1" s="41" t="s">
        <v>122</v>
      </c>
      <c r="BG1" s="41" t="s">
        <v>229</v>
      </c>
      <c r="BH1" s="41" t="s">
        <v>230</v>
      </c>
      <c r="BI1" s="41" t="s">
        <v>231</v>
      </c>
      <c r="BJ1" s="41" t="s">
        <v>123</v>
      </c>
      <c r="BK1" s="41" t="s">
        <v>232</v>
      </c>
      <c r="BL1" s="41" t="s">
        <v>233</v>
      </c>
      <c r="BM1" s="41" t="s">
        <v>234</v>
      </c>
      <c r="BN1" s="41" t="s">
        <v>235</v>
      </c>
      <c r="BO1" s="41" t="s">
        <v>119</v>
      </c>
      <c r="BP1" s="41" t="s">
        <v>236</v>
      </c>
      <c r="BQ1" s="41" t="s">
        <v>237</v>
      </c>
      <c r="BR1" s="41" t="s">
        <v>238</v>
      </c>
      <c r="BS1" s="41" t="s">
        <v>118</v>
      </c>
      <c r="BT1" s="41" t="s">
        <v>239</v>
      </c>
      <c r="BU1" s="41" t="s">
        <v>240</v>
      </c>
      <c r="BV1" s="41" t="s">
        <v>241</v>
      </c>
      <c r="BW1" s="41" t="s">
        <v>242</v>
      </c>
      <c r="BX1" s="41" t="s">
        <v>243</v>
      </c>
      <c r="BY1" s="41" t="s">
        <v>244</v>
      </c>
      <c r="BZ1" s="41" t="s">
        <v>245</v>
      </c>
      <c r="CA1" s="41" t="s">
        <v>246</v>
      </c>
      <c r="CB1" s="41" t="s">
        <v>247</v>
      </c>
      <c r="CC1" s="41" t="s">
        <v>248</v>
      </c>
      <c r="CD1" s="41" t="s">
        <v>249</v>
      </c>
      <c r="CE1" s="41" t="s">
        <v>250</v>
      </c>
      <c r="CF1" s="41" t="s">
        <v>251</v>
      </c>
      <c r="CG1" s="41" t="s">
        <v>252</v>
      </c>
      <c r="CH1" s="41" t="s">
        <v>253</v>
      </c>
      <c r="CI1" s="41" t="s">
        <v>254</v>
      </c>
      <c r="CJ1" s="41" t="s">
        <v>255</v>
      </c>
      <c r="CK1" s="41" t="s">
        <v>256</v>
      </c>
      <c r="CL1" s="41" t="s">
        <v>257</v>
      </c>
      <c r="CM1" s="41" t="s">
        <v>258</v>
      </c>
      <c r="CN1" s="41" t="s">
        <v>259</v>
      </c>
      <c r="CO1" s="41" t="s">
        <v>260</v>
      </c>
      <c r="CP1" s="41" t="s">
        <v>261</v>
      </c>
      <c r="CQ1" s="41" t="s">
        <v>262</v>
      </c>
      <c r="CR1" s="41" t="s">
        <v>263</v>
      </c>
      <c r="CS1" s="41" t="s">
        <v>264</v>
      </c>
      <c r="CT1" s="41" t="s">
        <v>265</v>
      </c>
      <c r="CU1" s="41" t="s">
        <v>266</v>
      </c>
      <c r="CV1" s="41" t="s">
        <v>267</v>
      </c>
      <c r="CW1" s="41" t="s">
        <v>268</v>
      </c>
      <c r="CX1" s="41" t="s">
        <v>269</v>
      </c>
      <c r="CY1" s="41" t="s">
        <v>270</v>
      </c>
      <c r="CZ1" s="41" t="s">
        <v>271</v>
      </c>
      <c r="DA1" s="41" t="s">
        <v>272</v>
      </c>
      <c r="DB1" s="41" t="s">
        <v>273</v>
      </c>
      <c r="DC1" s="41" t="s">
        <v>274</v>
      </c>
      <c r="DD1" s="41" t="s">
        <v>175</v>
      </c>
    </row>
    <row r="2" ht="22.5" customHeight="1">
      <c r="A2" s="42" t="s">
        <v>20</v>
      </c>
      <c r="B2" s="43">
        <v>46140.415972222225</v>
      </c>
      <c r="C2" s="42" t="s">
        <v>275</v>
      </c>
      <c r="D2" s="44">
        <v>0.06</v>
      </c>
      <c r="E2" s="42" t="s">
        <v>21</v>
      </c>
      <c r="H2" s="45" t="s">
        <v>23</v>
      </c>
      <c r="N2" s="42" t="s">
        <v>24</v>
      </c>
      <c r="O2" s="42" t="s">
        <v>38</v>
      </c>
      <c r="P2" s="42" t="s">
        <v>179</v>
      </c>
      <c r="Q2" s="46">
        <v>543815775936</v>
      </c>
    </row>
    <row r="3" ht="22.5" customHeight="1">
      <c r="A3" s="47" t="s">
        <v>20</v>
      </c>
      <c r="B3" s="48">
        <v>46144.54107638889</v>
      </c>
      <c r="C3" s="47" t="s">
        <v>275</v>
      </c>
      <c r="D3" s="49">
        <v>0.06</v>
      </c>
      <c r="E3" s="47" t="s">
        <v>21</v>
      </c>
      <c r="F3" s="50"/>
      <c r="G3" s="50"/>
      <c r="H3" s="51" t="s">
        <v>23</v>
      </c>
      <c r="I3" s="50"/>
      <c r="J3" s="50"/>
      <c r="K3" s="50"/>
      <c r="L3" s="50"/>
      <c r="M3" s="50"/>
      <c r="N3" s="47" t="s">
        <v>24</v>
      </c>
      <c r="O3" s="47" t="s">
        <v>38</v>
      </c>
      <c r="P3" s="47" t="s">
        <v>179</v>
      </c>
      <c r="Q3" s="50">
        <v>543815775936</v>
      </c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0"/>
      <c r="AT3" s="50"/>
      <c r="AU3" s="50"/>
      <c r="AV3" s="50"/>
      <c r="AW3" s="50"/>
      <c r="AX3" s="50"/>
      <c r="AY3" s="50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  <c r="BL3" s="50"/>
      <c r="BM3" s="50"/>
      <c r="BN3" s="50"/>
      <c r="BO3" s="50"/>
      <c r="BP3" s="50"/>
      <c r="BQ3" s="50"/>
      <c r="BR3" s="50"/>
      <c r="BS3" s="50"/>
      <c r="BT3" s="50"/>
      <c r="BU3" s="50"/>
      <c r="BV3" s="50"/>
      <c r="BW3" s="50"/>
      <c r="BX3" s="50"/>
      <c r="BY3" s="50"/>
      <c r="BZ3" s="50"/>
      <c r="CA3" s="50"/>
      <c r="CB3" s="50"/>
      <c r="CC3" s="50"/>
      <c r="CD3" s="50"/>
      <c r="CE3" s="50"/>
      <c r="CF3" s="50"/>
      <c r="CG3" s="50"/>
      <c r="CH3" s="50"/>
      <c r="CI3" s="50"/>
      <c r="CJ3" s="50"/>
      <c r="CK3" s="50"/>
      <c r="CL3" s="50"/>
      <c r="CM3" s="50"/>
      <c r="CN3" s="50"/>
      <c r="CO3" s="50"/>
      <c r="CP3" s="50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</row>
  </sheetData>
  <dataValidations>
    <dataValidation type="custom" allowBlank="1" showDropDown="1" sqref="D2:D3">
      <formula1>AND(ISNUMBER(D2),(NOT(OR(NOT(ISERROR(DATEVALUE(D2))), AND(ISNUMBER(D2), LEFT(CELL("format", D2))="D")))))</formula1>
    </dataValidation>
  </dataValidations>
  <hyperlinks>
    <hyperlink r:id="rId1" ref="H2"/>
    <hyperlink r:id="rId2" ref="H3"/>
  </hyperlinks>
  <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13"/>
    <col customWidth="1" min="2" max="2" width="10.88"/>
    <col customWidth="1" min="3" max="3" width="13.13"/>
    <col customWidth="1" min="4" max="4" width="11.13"/>
    <col customWidth="1" min="5" max="5" width="21.88"/>
    <col customWidth="1" min="6" max="6" width="64.38"/>
    <col customWidth="1" min="7" max="7" width="13.0"/>
    <col customWidth="1" min="8" max="8" width="11.0"/>
    <col customWidth="1" min="9" max="12" width="10.0"/>
    <col customWidth="1" min="13" max="13" width="12.5"/>
    <col customWidth="1" min="14" max="14" width="10.63"/>
    <col customWidth="1" min="15" max="15" width="28.13"/>
    <col customWidth="1" min="16" max="16" width="12.25"/>
    <col customWidth="1" min="17" max="26" width="8.0"/>
  </cols>
  <sheetData>
    <row r="1" ht="33.75" customHeight="1">
      <c r="A1" s="52" t="s">
        <v>276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4"/>
    </row>
    <row r="3" ht="22.5" customHeight="1">
      <c r="A3" s="55" t="s">
        <v>277</v>
      </c>
      <c r="B3" s="55" t="s">
        <v>0</v>
      </c>
      <c r="C3" s="55" t="s">
        <v>278</v>
      </c>
      <c r="D3" s="55" t="s">
        <v>279</v>
      </c>
      <c r="E3" s="55" t="s">
        <v>280</v>
      </c>
      <c r="F3" s="55" t="s">
        <v>281</v>
      </c>
      <c r="G3" s="55" t="s">
        <v>282</v>
      </c>
      <c r="H3" s="55" t="s">
        <v>283</v>
      </c>
      <c r="I3" s="55" t="s">
        <v>284</v>
      </c>
      <c r="J3" s="55" t="s">
        <v>285</v>
      </c>
      <c r="K3" s="55" t="s">
        <v>286</v>
      </c>
      <c r="L3" s="55" t="s">
        <v>287</v>
      </c>
      <c r="M3" s="55" t="s">
        <v>288</v>
      </c>
      <c r="N3" s="55" t="s">
        <v>289</v>
      </c>
      <c r="O3" s="55" t="s">
        <v>290</v>
      </c>
      <c r="P3" s="55" t="s">
        <v>291</v>
      </c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21.75" customHeight="1">
      <c r="A4" s="57" t="s">
        <v>292</v>
      </c>
      <c r="B4" s="57" t="s">
        <v>20</v>
      </c>
      <c r="C4" s="57" t="s">
        <v>21</v>
      </c>
      <c r="D4" s="58" t="s">
        <v>293</v>
      </c>
      <c r="E4" s="57" t="s">
        <v>294</v>
      </c>
      <c r="F4" s="57" t="s">
        <v>295</v>
      </c>
      <c r="G4" s="57" t="s">
        <v>296</v>
      </c>
      <c r="H4" s="59"/>
      <c r="I4" s="60">
        <v>46113.0</v>
      </c>
      <c r="J4" s="60">
        <v>46114.0</v>
      </c>
      <c r="K4" s="60">
        <v>46113.0</v>
      </c>
      <c r="L4" s="60">
        <v>46114.0</v>
      </c>
      <c r="M4" s="61" t="s">
        <v>297</v>
      </c>
      <c r="N4" s="62">
        <f>IFERROR(IF(AND(L4&lt;&gt;"",J4&lt;&gt;""),MAX(0,L4-J4),IF(AND(K4&lt;&gt;"",J4&lt;&gt;"",M4="En curso"),MAX(0,TODAY()-J4),"—")),"—")</f>
        <v>0</v>
      </c>
      <c r="O4" s="59" t="s">
        <v>298</v>
      </c>
      <c r="P4" s="61" t="s">
        <v>181</v>
      </c>
    </row>
    <row r="5" ht="21.75" customHeight="1">
      <c r="A5" s="63" t="s">
        <v>299</v>
      </c>
      <c r="B5" s="63" t="s">
        <v>20</v>
      </c>
      <c r="C5" s="63" t="s">
        <v>21</v>
      </c>
      <c r="D5" s="64" t="s">
        <v>293</v>
      </c>
      <c r="E5" s="63" t="s">
        <v>294</v>
      </c>
      <c r="F5" s="63" t="s">
        <v>300</v>
      </c>
      <c r="G5" s="63" t="s">
        <v>296</v>
      </c>
      <c r="H5" s="63" t="s">
        <v>292</v>
      </c>
      <c r="I5" s="60">
        <v>46114.0</v>
      </c>
      <c r="J5" s="60">
        <v>46118.0</v>
      </c>
      <c r="K5" s="60">
        <v>46114.0</v>
      </c>
      <c r="L5" s="65"/>
      <c r="M5" s="66" t="s">
        <v>301</v>
      </c>
      <c r="N5" s="67">
        <f>IFERROR(IF(AND(L4&lt;&gt;"",J4&lt;&gt;""),MAX(0,L4-J4),IF(AND(K4&lt;&gt;"",J4&lt;&gt;"",M4="En curso"),MAX(0,TODAY()-J4),"—")),"—")</f>
        <v>0</v>
      </c>
      <c r="O5" s="68" t="s">
        <v>302</v>
      </c>
      <c r="P5" s="66" t="s">
        <v>181</v>
      </c>
    </row>
    <row r="6" ht="21.75" customHeight="1">
      <c r="A6" s="69" t="s">
        <v>303</v>
      </c>
      <c r="B6" s="69" t="s">
        <v>20</v>
      </c>
      <c r="C6" s="69" t="s">
        <v>21</v>
      </c>
      <c r="D6" s="70" t="s">
        <v>293</v>
      </c>
      <c r="E6" s="69" t="s">
        <v>294</v>
      </c>
      <c r="F6" s="69" t="s">
        <v>304</v>
      </c>
      <c r="G6" s="69" t="s">
        <v>296</v>
      </c>
      <c r="H6" s="69" t="s">
        <v>299</v>
      </c>
      <c r="I6" s="60">
        <v>46118.0</v>
      </c>
      <c r="J6" s="60">
        <v>46119.0</v>
      </c>
      <c r="K6" s="65"/>
      <c r="L6" s="65"/>
      <c r="M6" s="70" t="s">
        <v>305</v>
      </c>
      <c r="N6" s="71">
        <f>IFERROR(IF(AND(L4&lt;&gt;"",J4&lt;&gt;""),MAX(0,L4-J4),IF(AND(K4&lt;&gt;"",J4&lt;&gt;"",M4="En curso"),MAX(0,TODAY()-J4),"—")),"—")</f>
        <v>0</v>
      </c>
      <c r="O6" s="72" t="s">
        <v>306</v>
      </c>
      <c r="P6" s="73" t="s">
        <v>181</v>
      </c>
    </row>
    <row r="7" ht="21.75" customHeight="1">
      <c r="A7" s="69" t="s">
        <v>307</v>
      </c>
      <c r="B7" s="69" t="s">
        <v>20</v>
      </c>
      <c r="C7" s="69" t="s">
        <v>21</v>
      </c>
      <c r="D7" s="70" t="s">
        <v>293</v>
      </c>
      <c r="E7" s="69" t="s">
        <v>294</v>
      </c>
      <c r="F7" s="69" t="s">
        <v>308</v>
      </c>
      <c r="G7" s="69" t="s">
        <v>296</v>
      </c>
      <c r="H7" s="69" t="s">
        <v>303</v>
      </c>
      <c r="I7" s="60">
        <v>46119.0</v>
      </c>
      <c r="J7" s="60">
        <v>46119.0</v>
      </c>
      <c r="K7" s="65"/>
      <c r="L7" s="65"/>
      <c r="M7" s="73" t="s">
        <v>305</v>
      </c>
      <c r="N7" s="71">
        <f>IFERROR(IF(AND(L4&lt;&gt;"",J4&lt;&gt;""),MAX(0,L4-J4),IF(AND(K4&lt;&gt;"",J4&lt;&gt;"",M4="En curso"),MAX(0,TODAY()-J4),"—")),"—")</f>
        <v>0</v>
      </c>
      <c r="O7" s="72"/>
      <c r="P7" s="70" t="s">
        <v>309</v>
      </c>
    </row>
    <row r="8" ht="21.75" customHeight="1">
      <c r="A8" s="69" t="s">
        <v>310</v>
      </c>
      <c r="B8" s="69" t="s">
        <v>20</v>
      </c>
      <c r="C8" s="69" t="s">
        <v>21</v>
      </c>
      <c r="D8" s="70" t="s">
        <v>293</v>
      </c>
      <c r="E8" s="69" t="s">
        <v>311</v>
      </c>
      <c r="F8" s="69" t="s">
        <v>312</v>
      </c>
      <c r="G8" s="69" t="s">
        <v>296</v>
      </c>
      <c r="H8" s="69" t="s">
        <v>299</v>
      </c>
      <c r="I8" s="60">
        <v>46118.0</v>
      </c>
      <c r="J8" s="60">
        <v>46118.0</v>
      </c>
      <c r="K8" s="65"/>
      <c r="L8" s="65"/>
      <c r="M8" s="73" t="s">
        <v>305</v>
      </c>
      <c r="N8" s="71">
        <f>IFERROR(IF(AND(L4&lt;&gt;"",J4&lt;&gt;""),MAX(0,L4-J4),IF(AND(K4&lt;&gt;"",J4&lt;&gt;"",M4="En curso"),MAX(0,TODAY()-J4),"—")),"—")</f>
        <v>0</v>
      </c>
      <c r="O8" s="72"/>
      <c r="P8" s="73" t="s">
        <v>181</v>
      </c>
    </row>
    <row r="9" ht="21.75" customHeight="1">
      <c r="A9" s="69" t="s">
        <v>313</v>
      </c>
      <c r="B9" s="69" t="s">
        <v>20</v>
      </c>
      <c r="C9" s="69" t="s">
        <v>21</v>
      </c>
      <c r="D9" s="70" t="s">
        <v>314</v>
      </c>
      <c r="E9" s="69" t="s">
        <v>315</v>
      </c>
      <c r="F9" s="69" t="s">
        <v>316</v>
      </c>
      <c r="G9" s="69" t="s">
        <v>317</v>
      </c>
      <c r="H9" s="69" t="s">
        <v>299</v>
      </c>
      <c r="I9" s="60">
        <v>46118.0</v>
      </c>
      <c r="J9" s="60">
        <v>46119.0</v>
      </c>
      <c r="K9" s="65"/>
      <c r="L9" s="65"/>
      <c r="M9" s="73" t="s">
        <v>305</v>
      </c>
      <c r="N9" s="71">
        <f>IFERROR(IF(AND(L4&lt;&gt;"",J4&lt;&gt;""),MAX(0,L4-J4),IF(AND(K4&lt;&gt;"",J4&lt;&gt;"",M4="En curso"),MAX(0,TODAY()-J4),"—")),"—")</f>
        <v>0</v>
      </c>
      <c r="O9" s="72"/>
      <c r="P9" s="73" t="s">
        <v>181</v>
      </c>
    </row>
    <row r="10" ht="22.5" customHeight="1">
      <c r="A10" s="74" t="s">
        <v>318</v>
      </c>
      <c r="B10" s="74" t="s">
        <v>20</v>
      </c>
      <c r="C10" s="74" t="s">
        <v>21</v>
      </c>
      <c r="D10" s="75" t="s">
        <v>314</v>
      </c>
      <c r="E10" s="74" t="s">
        <v>315</v>
      </c>
      <c r="F10" s="74" t="s">
        <v>319</v>
      </c>
      <c r="G10" s="74" t="s">
        <v>320</v>
      </c>
      <c r="H10" s="74" t="s">
        <v>313</v>
      </c>
      <c r="I10" s="76">
        <v>46119.0</v>
      </c>
      <c r="J10" s="76">
        <v>46119.0</v>
      </c>
      <c r="K10" s="77"/>
      <c r="L10" s="77"/>
      <c r="M10" s="78"/>
      <c r="N10" s="79">
        <f t="shared" ref="N10:N61" si="1">IFERROR(IF(AND(L4&lt;&gt;"",J4&lt;&gt;""),MAX(0,L4-J4),IF(AND(K4&lt;&gt;"",J4&lt;&gt;"",M4="En curso"),MAX(0,TODAY()-J4),"—")),"—")</f>
        <v>0</v>
      </c>
      <c r="O10" s="80"/>
      <c r="P10" s="78"/>
    </row>
    <row r="11" ht="22.5" customHeight="1">
      <c r="A11" s="74" t="s">
        <v>321</v>
      </c>
      <c r="B11" s="74" t="s">
        <v>20</v>
      </c>
      <c r="C11" s="74" t="s">
        <v>21</v>
      </c>
      <c r="D11" s="75" t="s">
        <v>322</v>
      </c>
      <c r="E11" s="74" t="s">
        <v>323</v>
      </c>
      <c r="F11" s="74" t="s">
        <v>324</v>
      </c>
      <c r="G11" s="74" t="s">
        <v>296</v>
      </c>
      <c r="H11" s="74" t="s">
        <v>299</v>
      </c>
      <c r="I11" s="76">
        <v>46118.0</v>
      </c>
      <c r="J11" s="76">
        <v>46118.0</v>
      </c>
      <c r="K11" s="77"/>
      <c r="L11" s="77"/>
      <c r="M11" s="78"/>
      <c r="N11" s="79">
        <f t="shared" si="1"/>
        <v>39</v>
      </c>
      <c r="O11" s="80"/>
      <c r="P11" s="78"/>
    </row>
    <row r="12" ht="22.5" customHeight="1">
      <c r="A12" s="74" t="s">
        <v>325</v>
      </c>
      <c r="B12" s="74" t="s">
        <v>20</v>
      </c>
      <c r="C12" s="74" t="s">
        <v>21</v>
      </c>
      <c r="D12" s="75" t="s">
        <v>322</v>
      </c>
      <c r="E12" s="74" t="s">
        <v>323</v>
      </c>
      <c r="F12" s="74" t="s">
        <v>326</v>
      </c>
      <c r="G12" s="74" t="s">
        <v>296</v>
      </c>
      <c r="H12" s="74" t="s">
        <v>321</v>
      </c>
      <c r="I12" s="76">
        <v>46118.0</v>
      </c>
      <c r="J12" s="76">
        <v>46118.0</v>
      </c>
      <c r="K12" s="77"/>
      <c r="L12" s="77"/>
      <c r="M12" s="78"/>
      <c r="N12" s="79" t="str">
        <f t="shared" si="1"/>
        <v>—</v>
      </c>
      <c r="O12" s="80"/>
      <c r="P12" s="78"/>
    </row>
    <row r="13" ht="22.5" customHeight="1">
      <c r="A13" s="74" t="s">
        <v>327</v>
      </c>
      <c r="B13" s="74" t="s">
        <v>20</v>
      </c>
      <c r="C13" s="74" t="s">
        <v>21</v>
      </c>
      <c r="D13" s="75" t="s">
        <v>322</v>
      </c>
      <c r="E13" s="74" t="s">
        <v>323</v>
      </c>
      <c r="F13" s="74" t="s">
        <v>328</v>
      </c>
      <c r="G13" s="74" t="s">
        <v>296</v>
      </c>
      <c r="H13" s="74" t="s">
        <v>325</v>
      </c>
      <c r="I13" s="76">
        <v>46118.0</v>
      </c>
      <c r="J13" s="76">
        <v>46119.0</v>
      </c>
      <c r="K13" s="77"/>
      <c r="L13" s="77"/>
      <c r="M13" s="78"/>
      <c r="N13" s="79" t="str">
        <f t="shared" si="1"/>
        <v>—</v>
      </c>
      <c r="O13" s="80"/>
      <c r="P13" s="78"/>
    </row>
    <row r="14" ht="22.5" customHeight="1">
      <c r="A14" s="74" t="s">
        <v>329</v>
      </c>
      <c r="B14" s="74" t="s">
        <v>20</v>
      </c>
      <c r="C14" s="74" t="s">
        <v>21</v>
      </c>
      <c r="D14" s="75" t="s">
        <v>322</v>
      </c>
      <c r="E14" s="74" t="s">
        <v>330</v>
      </c>
      <c r="F14" s="74" t="s">
        <v>331</v>
      </c>
      <c r="G14" s="74" t="s">
        <v>332</v>
      </c>
      <c r="H14" s="74" t="s">
        <v>299</v>
      </c>
      <c r="I14" s="76">
        <v>46118.0</v>
      </c>
      <c r="J14" s="76">
        <v>46118.0</v>
      </c>
      <c r="K14" s="77"/>
      <c r="L14" s="77"/>
      <c r="M14" s="78"/>
      <c r="N14" s="79" t="str">
        <f t="shared" si="1"/>
        <v>—</v>
      </c>
      <c r="O14" s="80"/>
      <c r="P14" s="78"/>
    </row>
    <row r="15" ht="22.5" customHeight="1">
      <c r="A15" s="74" t="s">
        <v>333</v>
      </c>
      <c r="B15" s="74" t="s">
        <v>20</v>
      </c>
      <c r="C15" s="74" t="s">
        <v>21</v>
      </c>
      <c r="D15" s="75" t="s">
        <v>322</v>
      </c>
      <c r="E15" s="74" t="s">
        <v>330</v>
      </c>
      <c r="F15" s="74" t="s">
        <v>334</v>
      </c>
      <c r="G15" s="74" t="s">
        <v>332</v>
      </c>
      <c r="H15" s="74" t="s">
        <v>329</v>
      </c>
      <c r="I15" s="76">
        <v>46118.0</v>
      </c>
      <c r="J15" s="76">
        <v>46118.0</v>
      </c>
      <c r="K15" s="77"/>
      <c r="L15" s="77"/>
      <c r="M15" s="78"/>
      <c r="N15" s="79" t="str">
        <f t="shared" si="1"/>
        <v>—</v>
      </c>
      <c r="O15" s="80"/>
      <c r="P15" s="78"/>
    </row>
    <row r="16" ht="22.5" customHeight="1">
      <c r="A16" s="74" t="s">
        <v>335</v>
      </c>
      <c r="B16" s="74" t="s">
        <v>20</v>
      </c>
      <c r="C16" s="74" t="s">
        <v>21</v>
      </c>
      <c r="D16" s="75" t="s">
        <v>322</v>
      </c>
      <c r="E16" s="74" t="s">
        <v>330</v>
      </c>
      <c r="F16" s="74" t="s">
        <v>336</v>
      </c>
      <c r="G16" s="74" t="s">
        <v>332</v>
      </c>
      <c r="H16" s="74" t="s">
        <v>337</v>
      </c>
      <c r="I16" s="76">
        <v>46118.0</v>
      </c>
      <c r="J16" s="76">
        <v>46118.0</v>
      </c>
      <c r="K16" s="77"/>
      <c r="L16" s="77"/>
      <c r="M16" s="78"/>
      <c r="N16" s="79" t="str">
        <f t="shared" si="1"/>
        <v>—</v>
      </c>
      <c r="O16" s="80"/>
      <c r="P16" s="78"/>
    </row>
    <row r="17" ht="22.5" customHeight="1">
      <c r="A17" s="74" t="s">
        <v>338</v>
      </c>
      <c r="B17" s="74" t="s">
        <v>20</v>
      </c>
      <c r="C17" s="74" t="s">
        <v>21</v>
      </c>
      <c r="D17" s="75" t="s">
        <v>322</v>
      </c>
      <c r="E17" s="74" t="s">
        <v>330</v>
      </c>
      <c r="F17" s="74" t="s">
        <v>339</v>
      </c>
      <c r="G17" s="74" t="s">
        <v>332</v>
      </c>
      <c r="H17" s="74" t="s">
        <v>335</v>
      </c>
      <c r="I17" s="76">
        <v>46118.0</v>
      </c>
      <c r="J17" s="76">
        <v>46118.0</v>
      </c>
      <c r="K17" s="77"/>
      <c r="L17" s="77"/>
      <c r="M17" s="78"/>
      <c r="N17" s="79" t="str">
        <f t="shared" si="1"/>
        <v>—</v>
      </c>
      <c r="O17" s="80"/>
      <c r="P17" s="78"/>
    </row>
    <row r="18" ht="22.5" customHeight="1">
      <c r="A18" s="74" t="s">
        <v>340</v>
      </c>
      <c r="B18" s="74" t="s">
        <v>20</v>
      </c>
      <c r="C18" s="74" t="s">
        <v>21</v>
      </c>
      <c r="D18" s="75" t="s">
        <v>322</v>
      </c>
      <c r="E18" s="74" t="s">
        <v>330</v>
      </c>
      <c r="F18" s="74" t="s">
        <v>341</v>
      </c>
      <c r="G18" s="74" t="s">
        <v>332</v>
      </c>
      <c r="H18" s="74" t="s">
        <v>333</v>
      </c>
      <c r="I18" s="76">
        <v>46118.0</v>
      </c>
      <c r="J18" s="76">
        <v>46118.0</v>
      </c>
      <c r="K18" s="77"/>
      <c r="L18" s="77"/>
      <c r="M18" s="78"/>
      <c r="N18" s="79" t="str">
        <f t="shared" si="1"/>
        <v>—</v>
      </c>
      <c r="O18" s="80"/>
      <c r="P18" s="78"/>
    </row>
    <row r="19" ht="22.5" customHeight="1">
      <c r="A19" s="74" t="s">
        <v>342</v>
      </c>
      <c r="B19" s="74" t="s">
        <v>20</v>
      </c>
      <c r="C19" s="74" t="s">
        <v>21</v>
      </c>
      <c r="D19" s="75" t="s">
        <v>314</v>
      </c>
      <c r="E19" s="74" t="s">
        <v>343</v>
      </c>
      <c r="F19" s="74" t="s">
        <v>344</v>
      </c>
      <c r="G19" s="74" t="s">
        <v>345</v>
      </c>
      <c r="H19" s="74" t="s">
        <v>340</v>
      </c>
      <c r="I19" s="76">
        <v>46118.0</v>
      </c>
      <c r="J19" s="76">
        <v>46118.0</v>
      </c>
      <c r="K19" s="77"/>
      <c r="L19" s="77"/>
      <c r="M19" s="78"/>
      <c r="N19" s="79" t="str">
        <f t="shared" si="1"/>
        <v>—</v>
      </c>
      <c r="O19" s="80"/>
      <c r="P19" s="78"/>
    </row>
    <row r="20" ht="22.5" customHeight="1">
      <c r="A20" s="74" t="s">
        <v>346</v>
      </c>
      <c r="B20" s="74" t="s">
        <v>20</v>
      </c>
      <c r="C20" s="74" t="s">
        <v>21</v>
      </c>
      <c r="D20" s="75" t="s">
        <v>322</v>
      </c>
      <c r="E20" s="74" t="s">
        <v>347</v>
      </c>
      <c r="F20" s="74" t="s">
        <v>348</v>
      </c>
      <c r="G20" s="74" t="s">
        <v>296</v>
      </c>
      <c r="H20" s="74" t="s">
        <v>299</v>
      </c>
      <c r="I20" s="76">
        <v>46118.0</v>
      </c>
      <c r="J20" s="76">
        <v>46118.0</v>
      </c>
      <c r="K20" s="77"/>
      <c r="L20" s="77"/>
      <c r="M20" s="78"/>
      <c r="N20" s="79" t="str">
        <f t="shared" si="1"/>
        <v>—</v>
      </c>
      <c r="O20" s="80"/>
      <c r="P20" s="78"/>
    </row>
    <row r="21" ht="15.75" customHeight="1">
      <c r="A21" s="74" t="s">
        <v>349</v>
      </c>
      <c r="B21" s="74" t="s">
        <v>20</v>
      </c>
      <c r="C21" s="74" t="s">
        <v>21</v>
      </c>
      <c r="D21" s="75" t="s">
        <v>322</v>
      </c>
      <c r="E21" s="74" t="s">
        <v>347</v>
      </c>
      <c r="F21" s="74" t="s">
        <v>350</v>
      </c>
      <c r="G21" s="74" t="s">
        <v>351</v>
      </c>
      <c r="H21" s="74" t="s">
        <v>346</v>
      </c>
      <c r="I21" s="76">
        <v>46118.0</v>
      </c>
      <c r="J21" s="76">
        <v>46120.0</v>
      </c>
      <c r="K21" s="77"/>
      <c r="L21" s="77"/>
      <c r="M21" s="78"/>
      <c r="N21" s="79" t="str">
        <f t="shared" si="1"/>
        <v>—</v>
      </c>
      <c r="O21" s="80"/>
      <c r="P21" s="78"/>
    </row>
    <row r="22" ht="15.75" customHeight="1">
      <c r="A22" s="74" t="s">
        <v>352</v>
      </c>
      <c r="B22" s="74" t="s">
        <v>20</v>
      </c>
      <c r="C22" s="74" t="s">
        <v>21</v>
      </c>
      <c r="D22" s="75" t="s">
        <v>322</v>
      </c>
      <c r="E22" s="74" t="s">
        <v>353</v>
      </c>
      <c r="F22" s="74" t="s">
        <v>354</v>
      </c>
      <c r="G22" s="74" t="s">
        <v>332</v>
      </c>
      <c r="H22" s="74" t="s">
        <v>349</v>
      </c>
      <c r="I22" s="76">
        <v>46120.0</v>
      </c>
      <c r="J22" s="76">
        <v>46121.0</v>
      </c>
      <c r="K22" s="77"/>
      <c r="L22" s="77"/>
      <c r="M22" s="78"/>
      <c r="N22" s="79" t="str">
        <f t="shared" si="1"/>
        <v>—</v>
      </c>
      <c r="O22" s="80"/>
      <c r="P22" s="78"/>
    </row>
    <row r="23" ht="15.75" customHeight="1">
      <c r="A23" s="74" t="s">
        <v>355</v>
      </c>
      <c r="B23" s="74" t="s">
        <v>20</v>
      </c>
      <c r="C23" s="74" t="s">
        <v>21</v>
      </c>
      <c r="D23" s="75" t="s">
        <v>322</v>
      </c>
      <c r="E23" s="74" t="s">
        <v>353</v>
      </c>
      <c r="F23" s="74" t="s">
        <v>356</v>
      </c>
      <c r="G23" s="74" t="s">
        <v>296</v>
      </c>
      <c r="H23" s="74" t="s">
        <v>352</v>
      </c>
      <c r="I23" s="76">
        <v>46121.0</v>
      </c>
      <c r="J23" s="76">
        <v>46125.0</v>
      </c>
      <c r="K23" s="77"/>
      <c r="L23" s="77"/>
      <c r="M23" s="78"/>
      <c r="N23" s="79" t="str">
        <f t="shared" si="1"/>
        <v>—</v>
      </c>
      <c r="O23" s="80"/>
      <c r="P23" s="78"/>
    </row>
    <row r="24" ht="15.75" customHeight="1">
      <c r="A24" s="74" t="s">
        <v>357</v>
      </c>
      <c r="B24" s="74" t="s">
        <v>20</v>
      </c>
      <c r="C24" s="74" t="s">
        <v>21</v>
      </c>
      <c r="D24" s="75" t="s">
        <v>314</v>
      </c>
      <c r="E24" s="74" t="s">
        <v>358</v>
      </c>
      <c r="F24" s="74" t="s">
        <v>359</v>
      </c>
      <c r="G24" s="74" t="s">
        <v>296</v>
      </c>
      <c r="H24" s="74" t="s">
        <v>355</v>
      </c>
      <c r="I24" s="76">
        <v>46125.0</v>
      </c>
      <c r="J24" s="76">
        <v>46125.0</v>
      </c>
      <c r="K24" s="77"/>
      <c r="L24" s="77"/>
      <c r="M24" s="78"/>
      <c r="N24" s="79" t="str">
        <f t="shared" si="1"/>
        <v>—</v>
      </c>
      <c r="O24" s="80"/>
      <c r="P24" s="78"/>
    </row>
    <row r="25" ht="15.75" customHeight="1">
      <c r="A25" s="74" t="s">
        <v>360</v>
      </c>
      <c r="B25" s="74" t="s">
        <v>20</v>
      </c>
      <c r="C25" s="74" t="s">
        <v>21</v>
      </c>
      <c r="D25" s="75" t="s">
        <v>314</v>
      </c>
      <c r="E25" s="74" t="s">
        <v>358</v>
      </c>
      <c r="F25" s="74" t="s">
        <v>361</v>
      </c>
      <c r="G25" s="74" t="s">
        <v>351</v>
      </c>
      <c r="H25" s="74" t="s">
        <v>357</v>
      </c>
      <c r="I25" s="76">
        <v>46125.0</v>
      </c>
      <c r="J25" s="76">
        <v>46126.0</v>
      </c>
      <c r="K25" s="77"/>
      <c r="L25" s="77"/>
      <c r="M25" s="78"/>
      <c r="N25" s="79" t="str">
        <f t="shared" si="1"/>
        <v>—</v>
      </c>
      <c r="O25" s="80"/>
      <c r="P25" s="78"/>
    </row>
    <row r="26" ht="15.75" customHeight="1">
      <c r="A26" s="74" t="s">
        <v>362</v>
      </c>
      <c r="B26" s="74" t="s">
        <v>20</v>
      </c>
      <c r="C26" s="74" t="s">
        <v>21</v>
      </c>
      <c r="D26" s="75" t="s">
        <v>314</v>
      </c>
      <c r="E26" s="74" t="s">
        <v>358</v>
      </c>
      <c r="F26" s="74" t="s">
        <v>363</v>
      </c>
      <c r="G26" s="74" t="s">
        <v>296</v>
      </c>
      <c r="H26" s="74" t="s">
        <v>360</v>
      </c>
      <c r="I26" s="76">
        <v>46126.0</v>
      </c>
      <c r="J26" s="76">
        <v>46126.0</v>
      </c>
      <c r="K26" s="77"/>
      <c r="L26" s="77"/>
      <c r="M26" s="78"/>
      <c r="N26" s="79" t="str">
        <f t="shared" si="1"/>
        <v>—</v>
      </c>
      <c r="O26" s="80"/>
      <c r="P26" s="78"/>
    </row>
    <row r="27" ht="15.75" customHeight="1">
      <c r="A27" s="74" t="s">
        <v>364</v>
      </c>
      <c r="B27" s="74" t="s">
        <v>20</v>
      </c>
      <c r="C27" s="74" t="s">
        <v>21</v>
      </c>
      <c r="D27" s="75" t="s">
        <v>322</v>
      </c>
      <c r="E27" s="74" t="s">
        <v>365</v>
      </c>
      <c r="F27" s="74" t="s">
        <v>366</v>
      </c>
      <c r="G27" s="74" t="s">
        <v>296</v>
      </c>
      <c r="H27" s="74" t="s">
        <v>355</v>
      </c>
      <c r="I27" s="76">
        <v>46125.0</v>
      </c>
      <c r="J27" s="76">
        <v>46126.0</v>
      </c>
      <c r="K27" s="77"/>
      <c r="L27" s="77"/>
      <c r="M27" s="78"/>
      <c r="N27" s="79" t="str">
        <f t="shared" si="1"/>
        <v>—</v>
      </c>
      <c r="O27" s="80"/>
      <c r="P27" s="78"/>
    </row>
    <row r="28" ht="15.75" customHeight="1">
      <c r="A28" s="74" t="s">
        <v>367</v>
      </c>
      <c r="B28" s="74" t="s">
        <v>20</v>
      </c>
      <c r="C28" s="74" t="s">
        <v>21</v>
      </c>
      <c r="D28" s="75" t="s">
        <v>322</v>
      </c>
      <c r="E28" s="74" t="s">
        <v>365</v>
      </c>
      <c r="F28" s="74" t="s">
        <v>368</v>
      </c>
      <c r="G28" s="74" t="s">
        <v>369</v>
      </c>
      <c r="H28" s="74" t="s">
        <v>364</v>
      </c>
      <c r="I28" s="76">
        <v>46126.0</v>
      </c>
      <c r="J28" s="76">
        <v>46128.0</v>
      </c>
      <c r="K28" s="77"/>
      <c r="L28" s="77"/>
      <c r="M28" s="78"/>
      <c r="N28" s="79" t="str">
        <f t="shared" si="1"/>
        <v>—</v>
      </c>
      <c r="O28" s="80"/>
      <c r="P28" s="78"/>
    </row>
    <row r="29" ht="15.75" customHeight="1">
      <c r="A29" s="74" t="s">
        <v>370</v>
      </c>
      <c r="B29" s="74" t="s">
        <v>20</v>
      </c>
      <c r="C29" s="74" t="s">
        <v>21</v>
      </c>
      <c r="D29" s="75" t="s">
        <v>322</v>
      </c>
      <c r="E29" s="74" t="s">
        <v>365</v>
      </c>
      <c r="F29" s="74" t="s">
        <v>371</v>
      </c>
      <c r="G29" s="74" t="s">
        <v>369</v>
      </c>
      <c r="H29" s="74" t="s">
        <v>367</v>
      </c>
      <c r="I29" s="76">
        <v>46128.0</v>
      </c>
      <c r="J29" s="76">
        <v>46129.0</v>
      </c>
      <c r="K29" s="77"/>
      <c r="L29" s="77"/>
      <c r="M29" s="78"/>
      <c r="N29" s="79" t="str">
        <f t="shared" si="1"/>
        <v>—</v>
      </c>
      <c r="O29" s="80"/>
      <c r="P29" s="78"/>
    </row>
    <row r="30" ht="15.75" customHeight="1">
      <c r="A30" s="74" t="s">
        <v>372</v>
      </c>
      <c r="B30" s="74" t="s">
        <v>20</v>
      </c>
      <c r="C30" s="74" t="s">
        <v>21</v>
      </c>
      <c r="D30" s="75" t="s">
        <v>322</v>
      </c>
      <c r="E30" s="74" t="s">
        <v>373</v>
      </c>
      <c r="F30" s="74" t="s">
        <v>374</v>
      </c>
      <c r="G30" s="74" t="s">
        <v>369</v>
      </c>
      <c r="H30" s="74" t="s">
        <v>303</v>
      </c>
      <c r="I30" s="76">
        <v>46119.0</v>
      </c>
      <c r="J30" s="76">
        <v>46119.0</v>
      </c>
      <c r="K30" s="77"/>
      <c r="L30" s="77"/>
      <c r="M30" s="78"/>
      <c r="N30" s="79" t="str">
        <f t="shared" si="1"/>
        <v>—</v>
      </c>
      <c r="O30" s="80"/>
      <c r="P30" s="78"/>
    </row>
    <row r="31" ht="15.75" customHeight="1">
      <c r="A31" s="74" t="s">
        <v>375</v>
      </c>
      <c r="B31" s="74" t="s">
        <v>20</v>
      </c>
      <c r="C31" s="74" t="s">
        <v>21</v>
      </c>
      <c r="D31" s="75" t="s">
        <v>376</v>
      </c>
      <c r="E31" s="74" t="s">
        <v>377</v>
      </c>
      <c r="F31" s="74" t="s">
        <v>378</v>
      </c>
      <c r="G31" s="74" t="s">
        <v>296</v>
      </c>
      <c r="H31" s="74" t="s">
        <v>379</v>
      </c>
      <c r="I31" s="76">
        <v>46129.0</v>
      </c>
      <c r="J31" s="76">
        <v>46132.0</v>
      </c>
      <c r="K31" s="77"/>
      <c r="L31" s="77"/>
      <c r="M31" s="78"/>
      <c r="N31" s="79" t="str">
        <f t="shared" si="1"/>
        <v>—</v>
      </c>
      <c r="O31" s="80"/>
      <c r="P31" s="78"/>
    </row>
    <row r="32" ht="15.75" customHeight="1">
      <c r="A32" s="74" t="s">
        <v>380</v>
      </c>
      <c r="B32" s="74" t="s">
        <v>20</v>
      </c>
      <c r="C32" s="74" t="s">
        <v>21</v>
      </c>
      <c r="D32" s="75" t="s">
        <v>376</v>
      </c>
      <c r="E32" s="74" t="s">
        <v>377</v>
      </c>
      <c r="F32" s="74" t="s">
        <v>381</v>
      </c>
      <c r="G32" s="74" t="s">
        <v>296</v>
      </c>
      <c r="H32" s="74" t="s">
        <v>375</v>
      </c>
      <c r="I32" s="76">
        <v>46132.0</v>
      </c>
      <c r="J32" s="76">
        <v>46132.0</v>
      </c>
      <c r="K32" s="77"/>
      <c r="L32" s="77"/>
      <c r="M32" s="78"/>
      <c r="N32" s="79" t="str">
        <f t="shared" si="1"/>
        <v>—</v>
      </c>
      <c r="O32" s="80"/>
      <c r="P32" s="78"/>
    </row>
    <row r="33" ht="15.75" customHeight="1">
      <c r="A33" s="74" t="s">
        <v>382</v>
      </c>
      <c r="B33" s="74" t="s">
        <v>32</v>
      </c>
      <c r="C33" s="74" t="s">
        <v>33</v>
      </c>
      <c r="D33" s="75" t="s">
        <v>293</v>
      </c>
      <c r="E33" s="74" t="s">
        <v>294</v>
      </c>
      <c r="F33" s="74" t="s">
        <v>295</v>
      </c>
      <c r="G33" s="74" t="s">
        <v>296</v>
      </c>
      <c r="H33" s="80"/>
      <c r="I33" s="76">
        <v>46127.0</v>
      </c>
      <c r="J33" s="76">
        <v>46128.0</v>
      </c>
      <c r="K33" s="77"/>
      <c r="L33" s="77"/>
      <c r="M33" s="78"/>
      <c r="N33" s="79" t="str">
        <f t="shared" si="1"/>
        <v>—</v>
      </c>
      <c r="O33" s="80"/>
      <c r="P33" s="78"/>
    </row>
    <row r="34" ht="15.75" customHeight="1">
      <c r="A34" s="74" t="s">
        <v>383</v>
      </c>
      <c r="B34" s="74" t="s">
        <v>32</v>
      </c>
      <c r="C34" s="74" t="s">
        <v>33</v>
      </c>
      <c r="D34" s="75" t="s">
        <v>293</v>
      </c>
      <c r="E34" s="74" t="s">
        <v>294</v>
      </c>
      <c r="F34" s="74" t="s">
        <v>300</v>
      </c>
      <c r="G34" s="74" t="s">
        <v>296</v>
      </c>
      <c r="H34" s="74" t="s">
        <v>382</v>
      </c>
      <c r="I34" s="76">
        <v>46128.0</v>
      </c>
      <c r="J34" s="76">
        <v>46132.0</v>
      </c>
      <c r="K34" s="77"/>
      <c r="L34" s="77"/>
      <c r="M34" s="78"/>
      <c r="N34" s="79" t="str">
        <f t="shared" si="1"/>
        <v>—</v>
      </c>
      <c r="O34" s="80"/>
      <c r="P34" s="78"/>
    </row>
    <row r="35" ht="15.75" customHeight="1">
      <c r="A35" s="74" t="s">
        <v>384</v>
      </c>
      <c r="B35" s="74" t="s">
        <v>32</v>
      </c>
      <c r="C35" s="74" t="s">
        <v>33</v>
      </c>
      <c r="D35" s="75" t="s">
        <v>293</v>
      </c>
      <c r="E35" s="74" t="s">
        <v>294</v>
      </c>
      <c r="F35" s="74" t="s">
        <v>304</v>
      </c>
      <c r="G35" s="74" t="s">
        <v>296</v>
      </c>
      <c r="H35" s="74" t="s">
        <v>383</v>
      </c>
      <c r="I35" s="76">
        <v>46132.0</v>
      </c>
      <c r="J35" s="76">
        <v>46133.0</v>
      </c>
      <c r="K35" s="77"/>
      <c r="L35" s="77"/>
      <c r="M35" s="78"/>
      <c r="N35" s="79" t="str">
        <f t="shared" si="1"/>
        <v>—</v>
      </c>
      <c r="O35" s="80"/>
      <c r="P35" s="78"/>
    </row>
    <row r="36" ht="15.75" customHeight="1">
      <c r="A36" s="74" t="s">
        <v>385</v>
      </c>
      <c r="B36" s="74" t="s">
        <v>32</v>
      </c>
      <c r="C36" s="74" t="s">
        <v>33</v>
      </c>
      <c r="D36" s="75" t="s">
        <v>293</v>
      </c>
      <c r="E36" s="74" t="s">
        <v>294</v>
      </c>
      <c r="F36" s="74" t="s">
        <v>308</v>
      </c>
      <c r="G36" s="74" t="s">
        <v>296</v>
      </c>
      <c r="H36" s="74" t="s">
        <v>384</v>
      </c>
      <c r="I36" s="76">
        <v>46133.0</v>
      </c>
      <c r="J36" s="76">
        <v>46133.0</v>
      </c>
      <c r="K36" s="77"/>
      <c r="L36" s="77"/>
      <c r="M36" s="78"/>
      <c r="N36" s="79" t="str">
        <f t="shared" si="1"/>
        <v>—</v>
      </c>
      <c r="O36" s="80"/>
      <c r="P36" s="78"/>
    </row>
    <row r="37" ht="15.75" customHeight="1">
      <c r="A37" s="74" t="s">
        <v>386</v>
      </c>
      <c r="B37" s="74" t="s">
        <v>32</v>
      </c>
      <c r="C37" s="74" t="s">
        <v>33</v>
      </c>
      <c r="D37" s="75" t="s">
        <v>293</v>
      </c>
      <c r="E37" s="74" t="s">
        <v>311</v>
      </c>
      <c r="F37" s="74" t="s">
        <v>312</v>
      </c>
      <c r="G37" s="74" t="s">
        <v>296</v>
      </c>
      <c r="H37" s="74" t="s">
        <v>383</v>
      </c>
      <c r="I37" s="76">
        <v>46132.0</v>
      </c>
      <c r="J37" s="76">
        <v>46132.0</v>
      </c>
      <c r="K37" s="77"/>
      <c r="L37" s="77"/>
      <c r="M37" s="78"/>
      <c r="N37" s="79" t="str">
        <f t="shared" si="1"/>
        <v>—</v>
      </c>
      <c r="O37" s="80"/>
      <c r="P37" s="78"/>
    </row>
    <row r="38" ht="15.75" customHeight="1">
      <c r="A38" s="74" t="s">
        <v>387</v>
      </c>
      <c r="B38" s="74" t="s">
        <v>32</v>
      </c>
      <c r="C38" s="74" t="s">
        <v>33</v>
      </c>
      <c r="D38" s="75" t="s">
        <v>314</v>
      </c>
      <c r="E38" s="74" t="s">
        <v>315</v>
      </c>
      <c r="F38" s="74" t="s">
        <v>316</v>
      </c>
      <c r="G38" s="74" t="s">
        <v>317</v>
      </c>
      <c r="H38" s="74" t="s">
        <v>383</v>
      </c>
      <c r="I38" s="76">
        <v>46132.0</v>
      </c>
      <c r="J38" s="76">
        <v>46133.0</v>
      </c>
      <c r="K38" s="77"/>
      <c r="L38" s="77"/>
      <c r="M38" s="78"/>
      <c r="N38" s="79" t="str">
        <f t="shared" si="1"/>
        <v>—</v>
      </c>
      <c r="O38" s="80"/>
      <c r="P38" s="78"/>
    </row>
    <row r="39" ht="15.75" customHeight="1">
      <c r="A39" s="74" t="s">
        <v>388</v>
      </c>
      <c r="B39" s="74" t="s">
        <v>32</v>
      </c>
      <c r="C39" s="74" t="s">
        <v>33</v>
      </c>
      <c r="D39" s="75" t="s">
        <v>314</v>
      </c>
      <c r="E39" s="74" t="s">
        <v>315</v>
      </c>
      <c r="F39" s="74" t="s">
        <v>319</v>
      </c>
      <c r="G39" s="74" t="s">
        <v>320</v>
      </c>
      <c r="H39" s="74" t="s">
        <v>387</v>
      </c>
      <c r="I39" s="76">
        <v>46133.0</v>
      </c>
      <c r="J39" s="76">
        <v>46133.0</v>
      </c>
      <c r="K39" s="77"/>
      <c r="L39" s="77"/>
      <c r="M39" s="78"/>
      <c r="N39" s="79" t="str">
        <f t="shared" si="1"/>
        <v>—</v>
      </c>
      <c r="O39" s="80"/>
      <c r="P39" s="78"/>
    </row>
    <row r="40" ht="15.75" customHeight="1">
      <c r="A40" s="74" t="s">
        <v>389</v>
      </c>
      <c r="B40" s="74" t="s">
        <v>32</v>
      </c>
      <c r="C40" s="74" t="s">
        <v>33</v>
      </c>
      <c r="D40" s="75" t="s">
        <v>322</v>
      </c>
      <c r="E40" s="74" t="s">
        <v>323</v>
      </c>
      <c r="F40" s="74" t="s">
        <v>324</v>
      </c>
      <c r="G40" s="74" t="s">
        <v>296</v>
      </c>
      <c r="H40" s="74" t="s">
        <v>383</v>
      </c>
      <c r="I40" s="76">
        <v>46132.0</v>
      </c>
      <c r="J40" s="76">
        <v>46132.0</v>
      </c>
      <c r="K40" s="77"/>
      <c r="L40" s="77"/>
      <c r="M40" s="78"/>
      <c r="N40" s="79" t="str">
        <f t="shared" si="1"/>
        <v>—</v>
      </c>
      <c r="O40" s="80"/>
      <c r="P40" s="78"/>
    </row>
    <row r="41" ht="15.75" customHeight="1">
      <c r="A41" s="74" t="s">
        <v>390</v>
      </c>
      <c r="B41" s="74" t="s">
        <v>32</v>
      </c>
      <c r="C41" s="74" t="s">
        <v>33</v>
      </c>
      <c r="D41" s="75" t="s">
        <v>322</v>
      </c>
      <c r="E41" s="74" t="s">
        <v>323</v>
      </c>
      <c r="F41" s="74" t="s">
        <v>326</v>
      </c>
      <c r="G41" s="74" t="s">
        <v>296</v>
      </c>
      <c r="H41" s="74" t="s">
        <v>389</v>
      </c>
      <c r="I41" s="76">
        <v>46132.0</v>
      </c>
      <c r="J41" s="76">
        <v>46132.0</v>
      </c>
      <c r="K41" s="77"/>
      <c r="L41" s="77"/>
      <c r="M41" s="78"/>
      <c r="N41" s="79" t="str">
        <f t="shared" si="1"/>
        <v>—</v>
      </c>
      <c r="O41" s="80"/>
      <c r="P41" s="78"/>
    </row>
    <row r="42" ht="15.75" customHeight="1">
      <c r="A42" s="74" t="s">
        <v>391</v>
      </c>
      <c r="B42" s="74" t="s">
        <v>32</v>
      </c>
      <c r="C42" s="74" t="s">
        <v>33</v>
      </c>
      <c r="D42" s="75" t="s">
        <v>322</v>
      </c>
      <c r="E42" s="74" t="s">
        <v>323</v>
      </c>
      <c r="F42" s="74" t="s">
        <v>328</v>
      </c>
      <c r="G42" s="74" t="s">
        <v>296</v>
      </c>
      <c r="H42" s="74" t="s">
        <v>390</v>
      </c>
      <c r="I42" s="76">
        <v>46132.0</v>
      </c>
      <c r="J42" s="76">
        <v>46133.0</v>
      </c>
      <c r="K42" s="77"/>
      <c r="L42" s="77"/>
      <c r="M42" s="78"/>
      <c r="N42" s="79" t="str">
        <f t="shared" si="1"/>
        <v>—</v>
      </c>
      <c r="O42" s="80"/>
      <c r="P42" s="78"/>
    </row>
    <row r="43" ht="15.75" customHeight="1">
      <c r="A43" s="74" t="s">
        <v>392</v>
      </c>
      <c r="B43" s="74" t="s">
        <v>32</v>
      </c>
      <c r="C43" s="74" t="s">
        <v>33</v>
      </c>
      <c r="D43" s="75" t="s">
        <v>322</v>
      </c>
      <c r="E43" s="74" t="s">
        <v>330</v>
      </c>
      <c r="F43" s="74" t="s">
        <v>331</v>
      </c>
      <c r="G43" s="74" t="s">
        <v>332</v>
      </c>
      <c r="H43" s="74" t="s">
        <v>383</v>
      </c>
      <c r="I43" s="76">
        <v>46132.0</v>
      </c>
      <c r="J43" s="76">
        <v>46132.0</v>
      </c>
      <c r="K43" s="77"/>
      <c r="L43" s="77"/>
      <c r="M43" s="78"/>
      <c r="N43" s="79" t="str">
        <f t="shared" si="1"/>
        <v>—</v>
      </c>
      <c r="O43" s="80"/>
      <c r="P43" s="78"/>
    </row>
    <row r="44" ht="15.75" customHeight="1">
      <c r="A44" s="74" t="s">
        <v>393</v>
      </c>
      <c r="B44" s="74" t="s">
        <v>32</v>
      </c>
      <c r="C44" s="74" t="s">
        <v>33</v>
      </c>
      <c r="D44" s="75" t="s">
        <v>322</v>
      </c>
      <c r="E44" s="74" t="s">
        <v>330</v>
      </c>
      <c r="F44" s="74" t="s">
        <v>334</v>
      </c>
      <c r="G44" s="74" t="s">
        <v>332</v>
      </c>
      <c r="H44" s="74" t="s">
        <v>392</v>
      </c>
      <c r="I44" s="76">
        <v>46132.0</v>
      </c>
      <c r="J44" s="76">
        <v>46132.0</v>
      </c>
      <c r="K44" s="77"/>
      <c r="L44" s="77"/>
      <c r="M44" s="78"/>
      <c r="N44" s="79" t="str">
        <f t="shared" si="1"/>
        <v>—</v>
      </c>
      <c r="O44" s="80"/>
      <c r="P44" s="78"/>
    </row>
    <row r="45" ht="15.75" customHeight="1">
      <c r="A45" s="74" t="s">
        <v>394</v>
      </c>
      <c r="B45" s="74" t="s">
        <v>32</v>
      </c>
      <c r="C45" s="74" t="s">
        <v>33</v>
      </c>
      <c r="D45" s="75" t="s">
        <v>322</v>
      </c>
      <c r="E45" s="74" t="s">
        <v>330</v>
      </c>
      <c r="F45" s="74" t="s">
        <v>336</v>
      </c>
      <c r="G45" s="74" t="s">
        <v>332</v>
      </c>
      <c r="H45" s="74" t="s">
        <v>395</v>
      </c>
      <c r="I45" s="76">
        <v>46132.0</v>
      </c>
      <c r="J45" s="76">
        <v>46132.0</v>
      </c>
      <c r="K45" s="77"/>
      <c r="L45" s="77"/>
      <c r="M45" s="78"/>
      <c r="N45" s="79" t="str">
        <f t="shared" si="1"/>
        <v>—</v>
      </c>
      <c r="O45" s="80"/>
      <c r="P45" s="78"/>
    </row>
    <row r="46" ht="15.75" customHeight="1">
      <c r="A46" s="74" t="s">
        <v>396</v>
      </c>
      <c r="B46" s="74" t="s">
        <v>32</v>
      </c>
      <c r="C46" s="74" t="s">
        <v>33</v>
      </c>
      <c r="D46" s="75" t="s">
        <v>322</v>
      </c>
      <c r="E46" s="74" t="s">
        <v>330</v>
      </c>
      <c r="F46" s="74" t="s">
        <v>339</v>
      </c>
      <c r="G46" s="74" t="s">
        <v>332</v>
      </c>
      <c r="H46" s="74" t="s">
        <v>394</v>
      </c>
      <c r="I46" s="76">
        <v>46132.0</v>
      </c>
      <c r="J46" s="76">
        <v>46132.0</v>
      </c>
      <c r="K46" s="77"/>
      <c r="L46" s="77"/>
      <c r="M46" s="78"/>
      <c r="N46" s="79" t="str">
        <f t="shared" si="1"/>
        <v>—</v>
      </c>
      <c r="O46" s="80"/>
      <c r="P46" s="78"/>
    </row>
    <row r="47" ht="15.75" customHeight="1">
      <c r="A47" s="74" t="s">
        <v>397</v>
      </c>
      <c r="B47" s="74" t="s">
        <v>32</v>
      </c>
      <c r="C47" s="74" t="s">
        <v>33</v>
      </c>
      <c r="D47" s="75" t="s">
        <v>322</v>
      </c>
      <c r="E47" s="74" t="s">
        <v>330</v>
      </c>
      <c r="F47" s="74" t="s">
        <v>341</v>
      </c>
      <c r="G47" s="74" t="s">
        <v>332</v>
      </c>
      <c r="H47" s="74" t="s">
        <v>393</v>
      </c>
      <c r="I47" s="76">
        <v>46132.0</v>
      </c>
      <c r="J47" s="76">
        <v>46132.0</v>
      </c>
      <c r="K47" s="77"/>
      <c r="L47" s="77"/>
      <c r="M47" s="78"/>
      <c r="N47" s="79" t="str">
        <f t="shared" si="1"/>
        <v>—</v>
      </c>
      <c r="O47" s="80"/>
      <c r="P47" s="78"/>
    </row>
    <row r="48" ht="15.75" customHeight="1">
      <c r="A48" s="74" t="s">
        <v>398</v>
      </c>
      <c r="B48" s="74" t="s">
        <v>32</v>
      </c>
      <c r="C48" s="74" t="s">
        <v>33</v>
      </c>
      <c r="D48" s="75" t="s">
        <v>314</v>
      </c>
      <c r="E48" s="74" t="s">
        <v>343</v>
      </c>
      <c r="F48" s="74" t="s">
        <v>344</v>
      </c>
      <c r="G48" s="74" t="s">
        <v>345</v>
      </c>
      <c r="H48" s="74" t="s">
        <v>397</v>
      </c>
      <c r="I48" s="76">
        <v>46132.0</v>
      </c>
      <c r="J48" s="76">
        <v>46132.0</v>
      </c>
      <c r="K48" s="77"/>
      <c r="L48" s="77"/>
      <c r="M48" s="78"/>
      <c r="N48" s="79" t="str">
        <f t="shared" si="1"/>
        <v>—</v>
      </c>
      <c r="O48" s="80"/>
      <c r="P48" s="78"/>
    </row>
    <row r="49" ht="15.75" customHeight="1">
      <c r="A49" s="74" t="s">
        <v>399</v>
      </c>
      <c r="B49" s="74" t="s">
        <v>32</v>
      </c>
      <c r="C49" s="74" t="s">
        <v>33</v>
      </c>
      <c r="D49" s="75" t="s">
        <v>322</v>
      </c>
      <c r="E49" s="74" t="s">
        <v>347</v>
      </c>
      <c r="F49" s="74" t="s">
        <v>348</v>
      </c>
      <c r="G49" s="74" t="s">
        <v>296</v>
      </c>
      <c r="H49" s="74" t="s">
        <v>383</v>
      </c>
      <c r="I49" s="76">
        <v>46132.0</v>
      </c>
      <c r="J49" s="76">
        <v>46132.0</v>
      </c>
      <c r="K49" s="77"/>
      <c r="L49" s="77"/>
      <c r="M49" s="78"/>
      <c r="N49" s="79" t="str">
        <f t="shared" si="1"/>
        <v>—</v>
      </c>
      <c r="O49" s="80"/>
      <c r="P49" s="78"/>
    </row>
    <row r="50" ht="15.75" customHeight="1">
      <c r="A50" s="74" t="s">
        <v>400</v>
      </c>
      <c r="B50" s="74" t="s">
        <v>32</v>
      </c>
      <c r="C50" s="74" t="s">
        <v>33</v>
      </c>
      <c r="D50" s="75" t="s">
        <v>322</v>
      </c>
      <c r="E50" s="74" t="s">
        <v>347</v>
      </c>
      <c r="F50" s="74" t="s">
        <v>350</v>
      </c>
      <c r="G50" s="74" t="s">
        <v>351</v>
      </c>
      <c r="H50" s="74" t="s">
        <v>399</v>
      </c>
      <c r="I50" s="76">
        <v>46132.0</v>
      </c>
      <c r="J50" s="76">
        <v>46134.0</v>
      </c>
      <c r="K50" s="77"/>
      <c r="L50" s="77"/>
      <c r="M50" s="78"/>
      <c r="N50" s="79" t="str">
        <f t="shared" si="1"/>
        <v>—</v>
      </c>
      <c r="O50" s="80"/>
      <c r="P50" s="78"/>
    </row>
    <row r="51" ht="15.75" customHeight="1">
      <c r="A51" s="74" t="s">
        <v>401</v>
      </c>
      <c r="B51" s="74" t="s">
        <v>32</v>
      </c>
      <c r="C51" s="74" t="s">
        <v>33</v>
      </c>
      <c r="D51" s="75" t="s">
        <v>322</v>
      </c>
      <c r="E51" s="74" t="s">
        <v>353</v>
      </c>
      <c r="F51" s="74" t="s">
        <v>354</v>
      </c>
      <c r="G51" s="74" t="s">
        <v>332</v>
      </c>
      <c r="H51" s="74" t="s">
        <v>400</v>
      </c>
      <c r="I51" s="76">
        <v>46134.0</v>
      </c>
      <c r="J51" s="76">
        <v>46135.0</v>
      </c>
      <c r="K51" s="77"/>
      <c r="L51" s="77"/>
      <c r="M51" s="78"/>
      <c r="N51" s="79" t="str">
        <f t="shared" si="1"/>
        <v>—</v>
      </c>
      <c r="O51" s="80"/>
      <c r="P51" s="78"/>
    </row>
    <row r="52" ht="15.75" customHeight="1">
      <c r="A52" s="74" t="s">
        <v>402</v>
      </c>
      <c r="B52" s="74" t="s">
        <v>32</v>
      </c>
      <c r="C52" s="74" t="s">
        <v>33</v>
      </c>
      <c r="D52" s="75" t="s">
        <v>322</v>
      </c>
      <c r="E52" s="74" t="s">
        <v>353</v>
      </c>
      <c r="F52" s="74" t="s">
        <v>356</v>
      </c>
      <c r="G52" s="74" t="s">
        <v>296</v>
      </c>
      <c r="H52" s="74" t="s">
        <v>401</v>
      </c>
      <c r="I52" s="76">
        <v>46135.0</v>
      </c>
      <c r="J52" s="76">
        <v>46139.0</v>
      </c>
      <c r="K52" s="77"/>
      <c r="L52" s="77"/>
      <c r="M52" s="78"/>
      <c r="N52" s="79" t="str">
        <f t="shared" si="1"/>
        <v>—</v>
      </c>
      <c r="O52" s="80"/>
      <c r="P52" s="78"/>
    </row>
    <row r="53" ht="15.75" customHeight="1">
      <c r="A53" s="74" t="s">
        <v>403</v>
      </c>
      <c r="B53" s="74" t="s">
        <v>32</v>
      </c>
      <c r="C53" s="74" t="s">
        <v>33</v>
      </c>
      <c r="D53" s="75" t="s">
        <v>314</v>
      </c>
      <c r="E53" s="74" t="s">
        <v>358</v>
      </c>
      <c r="F53" s="74" t="s">
        <v>359</v>
      </c>
      <c r="G53" s="74" t="s">
        <v>296</v>
      </c>
      <c r="H53" s="74" t="s">
        <v>402</v>
      </c>
      <c r="I53" s="76">
        <v>46139.0</v>
      </c>
      <c r="J53" s="76">
        <v>46139.0</v>
      </c>
      <c r="K53" s="77"/>
      <c r="L53" s="77"/>
      <c r="M53" s="78"/>
      <c r="N53" s="79" t="str">
        <f t="shared" si="1"/>
        <v>—</v>
      </c>
      <c r="O53" s="80"/>
      <c r="P53" s="78"/>
    </row>
    <row r="54" ht="15.75" customHeight="1">
      <c r="A54" s="74" t="s">
        <v>404</v>
      </c>
      <c r="B54" s="74" t="s">
        <v>32</v>
      </c>
      <c r="C54" s="74" t="s">
        <v>33</v>
      </c>
      <c r="D54" s="75" t="s">
        <v>314</v>
      </c>
      <c r="E54" s="74" t="s">
        <v>358</v>
      </c>
      <c r="F54" s="74" t="s">
        <v>361</v>
      </c>
      <c r="G54" s="74" t="s">
        <v>351</v>
      </c>
      <c r="H54" s="74" t="s">
        <v>403</v>
      </c>
      <c r="I54" s="76">
        <v>46139.0</v>
      </c>
      <c r="J54" s="76">
        <v>46140.0</v>
      </c>
      <c r="K54" s="77"/>
      <c r="L54" s="77"/>
      <c r="M54" s="78"/>
      <c r="N54" s="79" t="str">
        <f t="shared" si="1"/>
        <v>—</v>
      </c>
      <c r="O54" s="80"/>
      <c r="P54" s="78"/>
    </row>
    <row r="55" ht="15.75" customHeight="1">
      <c r="A55" s="74" t="s">
        <v>405</v>
      </c>
      <c r="B55" s="74" t="s">
        <v>32</v>
      </c>
      <c r="C55" s="74" t="s">
        <v>33</v>
      </c>
      <c r="D55" s="75" t="s">
        <v>314</v>
      </c>
      <c r="E55" s="74" t="s">
        <v>358</v>
      </c>
      <c r="F55" s="74" t="s">
        <v>363</v>
      </c>
      <c r="G55" s="74" t="s">
        <v>296</v>
      </c>
      <c r="H55" s="74" t="s">
        <v>404</v>
      </c>
      <c r="I55" s="76">
        <v>46140.0</v>
      </c>
      <c r="J55" s="76">
        <v>46140.0</v>
      </c>
      <c r="K55" s="77"/>
      <c r="L55" s="77"/>
      <c r="M55" s="78"/>
      <c r="N55" s="79" t="str">
        <f t="shared" si="1"/>
        <v>—</v>
      </c>
      <c r="O55" s="80"/>
      <c r="P55" s="78"/>
    </row>
    <row r="56" ht="15.75" customHeight="1">
      <c r="A56" s="74" t="s">
        <v>406</v>
      </c>
      <c r="B56" s="74" t="s">
        <v>32</v>
      </c>
      <c r="C56" s="74" t="s">
        <v>33</v>
      </c>
      <c r="D56" s="75" t="s">
        <v>322</v>
      </c>
      <c r="E56" s="74" t="s">
        <v>365</v>
      </c>
      <c r="F56" s="74" t="s">
        <v>366</v>
      </c>
      <c r="G56" s="74" t="s">
        <v>296</v>
      </c>
      <c r="H56" s="74" t="s">
        <v>402</v>
      </c>
      <c r="I56" s="76">
        <v>46139.0</v>
      </c>
      <c r="J56" s="76">
        <v>46140.0</v>
      </c>
      <c r="K56" s="77"/>
      <c r="L56" s="77"/>
      <c r="M56" s="78"/>
      <c r="N56" s="79" t="str">
        <f t="shared" si="1"/>
        <v>—</v>
      </c>
      <c r="O56" s="80"/>
      <c r="P56" s="78"/>
    </row>
    <row r="57" ht="15.75" customHeight="1">
      <c r="A57" s="74" t="s">
        <v>407</v>
      </c>
      <c r="B57" s="74" t="s">
        <v>32</v>
      </c>
      <c r="C57" s="74" t="s">
        <v>33</v>
      </c>
      <c r="D57" s="75" t="s">
        <v>322</v>
      </c>
      <c r="E57" s="74" t="s">
        <v>365</v>
      </c>
      <c r="F57" s="74" t="s">
        <v>368</v>
      </c>
      <c r="G57" s="74" t="s">
        <v>369</v>
      </c>
      <c r="H57" s="74" t="s">
        <v>406</v>
      </c>
      <c r="I57" s="76">
        <v>46140.0</v>
      </c>
      <c r="J57" s="76">
        <v>46142.0</v>
      </c>
      <c r="K57" s="77"/>
      <c r="L57" s="77"/>
      <c r="M57" s="78"/>
      <c r="N57" s="79" t="str">
        <f t="shared" si="1"/>
        <v>—</v>
      </c>
      <c r="O57" s="80"/>
      <c r="P57" s="78"/>
    </row>
    <row r="58" ht="15.75" customHeight="1">
      <c r="A58" s="74" t="s">
        <v>408</v>
      </c>
      <c r="B58" s="74" t="s">
        <v>32</v>
      </c>
      <c r="C58" s="74" t="s">
        <v>33</v>
      </c>
      <c r="D58" s="75" t="s">
        <v>322</v>
      </c>
      <c r="E58" s="74" t="s">
        <v>365</v>
      </c>
      <c r="F58" s="74" t="s">
        <v>371</v>
      </c>
      <c r="G58" s="74" t="s">
        <v>369</v>
      </c>
      <c r="H58" s="74" t="s">
        <v>407</v>
      </c>
      <c r="I58" s="76">
        <v>46142.0</v>
      </c>
      <c r="J58" s="76">
        <v>46143.0</v>
      </c>
      <c r="K58" s="77"/>
      <c r="L58" s="77"/>
      <c r="M58" s="78"/>
      <c r="N58" s="79" t="str">
        <f t="shared" si="1"/>
        <v>—</v>
      </c>
      <c r="O58" s="80"/>
      <c r="P58" s="78"/>
    </row>
    <row r="59" ht="15.75" customHeight="1">
      <c r="A59" s="74" t="s">
        <v>409</v>
      </c>
      <c r="B59" s="74" t="s">
        <v>32</v>
      </c>
      <c r="C59" s="74" t="s">
        <v>33</v>
      </c>
      <c r="D59" s="75" t="s">
        <v>322</v>
      </c>
      <c r="E59" s="74" t="s">
        <v>373</v>
      </c>
      <c r="F59" s="74" t="s">
        <v>374</v>
      </c>
      <c r="G59" s="74" t="s">
        <v>369</v>
      </c>
      <c r="H59" s="74" t="s">
        <v>384</v>
      </c>
      <c r="I59" s="76">
        <v>46133.0</v>
      </c>
      <c r="J59" s="76">
        <v>46133.0</v>
      </c>
      <c r="K59" s="77"/>
      <c r="L59" s="77"/>
      <c r="M59" s="78"/>
      <c r="N59" s="79" t="str">
        <f t="shared" si="1"/>
        <v>—</v>
      </c>
      <c r="O59" s="80"/>
      <c r="P59" s="78"/>
    </row>
    <row r="60" ht="15.75" customHeight="1">
      <c r="A60" s="74" t="s">
        <v>410</v>
      </c>
      <c r="B60" s="74" t="s">
        <v>32</v>
      </c>
      <c r="C60" s="74" t="s">
        <v>33</v>
      </c>
      <c r="D60" s="75" t="s">
        <v>376</v>
      </c>
      <c r="E60" s="74" t="s">
        <v>377</v>
      </c>
      <c r="F60" s="74" t="s">
        <v>378</v>
      </c>
      <c r="G60" s="74" t="s">
        <v>296</v>
      </c>
      <c r="H60" s="74" t="s">
        <v>411</v>
      </c>
      <c r="I60" s="76">
        <v>46143.0</v>
      </c>
      <c r="J60" s="76">
        <v>46146.0</v>
      </c>
      <c r="K60" s="77"/>
      <c r="L60" s="77"/>
      <c r="M60" s="78"/>
      <c r="N60" s="79" t="str">
        <f t="shared" si="1"/>
        <v>—</v>
      </c>
      <c r="O60" s="80"/>
      <c r="P60" s="78"/>
    </row>
    <row r="61" ht="15.75" customHeight="1">
      <c r="A61" s="74" t="s">
        <v>412</v>
      </c>
      <c r="B61" s="74" t="s">
        <v>32</v>
      </c>
      <c r="C61" s="74" t="s">
        <v>33</v>
      </c>
      <c r="D61" s="75" t="s">
        <v>376</v>
      </c>
      <c r="E61" s="74" t="s">
        <v>377</v>
      </c>
      <c r="F61" s="74" t="s">
        <v>381</v>
      </c>
      <c r="G61" s="74" t="s">
        <v>296</v>
      </c>
      <c r="H61" s="74" t="s">
        <v>410</v>
      </c>
      <c r="I61" s="76">
        <v>46146.0</v>
      </c>
      <c r="J61" s="76">
        <v>46146.0</v>
      </c>
      <c r="K61" s="77"/>
      <c r="L61" s="77"/>
      <c r="M61" s="78"/>
      <c r="N61" s="79" t="str">
        <f t="shared" si="1"/>
        <v>—</v>
      </c>
      <c r="O61" s="80"/>
      <c r="P61" s="78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>
      <c r="A81" s="81" t="s">
        <v>413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4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81:P81"/>
  </mergeCells>
  <dataValidations>
    <dataValidation type="list" allowBlank="1" sqref="M4:M61">
      <formula1>"Pendiente,En curso,Completado,Bloqueado,Cancelado"</formula1>
    </dataValidation>
    <dataValidation type="list" allowBlank="1" sqref="D4:D61">
      <formula1>"Comercial,Técnica,Operativa,Cierre"</formula1>
    </dataValidation>
    <dataValidation type="list" allowBlank="1" sqref="P4:P61">
      <formula1>"Sí,No"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6.63"/>
    <col customWidth="1" min="2" max="2" width="5.63"/>
    <col customWidth="1" min="3" max="3" width="15.63"/>
    <col customWidth="1" min="4" max="4" width="4.13"/>
    <col customWidth="1" min="5" max="5" width="25.88"/>
    <col customWidth="1" min="6" max="6" width="32.38"/>
    <col customWidth="1" min="7" max="7" width="14.38"/>
    <col customWidth="1" min="8" max="26" width="8.0"/>
  </cols>
  <sheetData>
    <row r="1" ht="33.75" customHeight="1">
      <c r="A1" s="52" t="s">
        <v>414</v>
      </c>
      <c r="B1" s="53"/>
      <c r="C1" s="53"/>
      <c r="D1" s="53"/>
      <c r="E1" s="53"/>
      <c r="F1" s="53"/>
      <c r="G1" s="54"/>
    </row>
    <row r="2" ht="36.0" customHeight="1">
      <c r="A2" s="82" t="s">
        <v>415</v>
      </c>
      <c r="B2" s="82" t="s">
        <v>416</v>
      </c>
      <c r="C2" s="82" t="s">
        <v>417</v>
      </c>
      <c r="D2" s="83" t="s">
        <v>418</v>
      </c>
      <c r="E2" s="84" t="s">
        <v>419</v>
      </c>
      <c r="F2" s="84" t="s">
        <v>420</v>
      </c>
      <c r="G2" s="85" t="s">
        <v>282</v>
      </c>
    </row>
    <row r="3" ht="21.75" customHeight="1">
      <c r="A3" s="86" t="s">
        <v>421</v>
      </c>
      <c r="B3" s="86" t="s">
        <v>422</v>
      </c>
      <c r="C3" s="86" t="s">
        <v>423</v>
      </c>
      <c r="D3" s="87">
        <v>1.0</v>
      </c>
      <c r="E3" s="88" t="s">
        <v>424</v>
      </c>
      <c r="F3" s="88" t="s">
        <v>425</v>
      </c>
      <c r="G3" s="86" t="s">
        <v>293</v>
      </c>
    </row>
    <row r="4" ht="21.75" customHeight="1">
      <c r="A4" s="86" t="s">
        <v>421</v>
      </c>
      <c r="B4" s="86" t="s">
        <v>426</v>
      </c>
      <c r="C4" s="86" t="s">
        <v>427</v>
      </c>
      <c r="D4" s="87">
        <v>2.0</v>
      </c>
      <c r="E4" s="88" t="s">
        <v>428</v>
      </c>
      <c r="F4" s="88" t="s">
        <v>429</v>
      </c>
      <c r="G4" s="86" t="s">
        <v>293</v>
      </c>
    </row>
    <row r="5" ht="21.75" customHeight="1">
      <c r="A5" s="86" t="s">
        <v>421</v>
      </c>
      <c r="B5" s="86" t="s">
        <v>430</v>
      </c>
      <c r="C5" s="86" t="s">
        <v>431</v>
      </c>
      <c r="D5" s="87">
        <v>3.0</v>
      </c>
      <c r="E5" s="88" t="s">
        <v>432</v>
      </c>
      <c r="F5" s="88" t="s">
        <v>433</v>
      </c>
      <c r="G5" s="86" t="s">
        <v>296</v>
      </c>
    </row>
    <row r="6" ht="21.75" customHeight="1">
      <c r="A6" s="86" t="s">
        <v>421</v>
      </c>
      <c r="B6" s="86" t="s">
        <v>434</v>
      </c>
      <c r="C6" s="86" t="s">
        <v>435</v>
      </c>
      <c r="D6" s="87">
        <v>4.0</v>
      </c>
      <c r="E6" s="88" t="s">
        <v>436</v>
      </c>
      <c r="F6" s="88" t="s">
        <v>437</v>
      </c>
      <c r="G6" s="86" t="s">
        <v>438</v>
      </c>
    </row>
    <row r="7" ht="21.75" customHeight="1">
      <c r="A7" s="86" t="s">
        <v>421</v>
      </c>
      <c r="B7" s="86" t="s">
        <v>439</v>
      </c>
      <c r="C7" s="86" t="s">
        <v>440</v>
      </c>
      <c r="D7" s="87">
        <v>5.0</v>
      </c>
      <c r="E7" s="88" t="s">
        <v>441</v>
      </c>
      <c r="F7" s="88" t="s">
        <v>442</v>
      </c>
      <c r="G7" s="86" t="s">
        <v>443</v>
      </c>
    </row>
    <row r="8" ht="21.75" customHeight="1">
      <c r="A8" s="86" t="s">
        <v>421</v>
      </c>
      <c r="B8" s="86" t="s">
        <v>444</v>
      </c>
      <c r="C8" s="86" t="s">
        <v>445</v>
      </c>
      <c r="D8" s="87">
        <v>6.0</v>
      </c>
      <c r="E8" s="88" t="s">
        <v>446</v>
      </c>
      <c r="F8" s="88" t="s">
        <v>447</v>
      </c>
      <c r="G8" s="86" t="s">
        <v>296</v>
      </c>
    </row>
    <row r="9" ht="21.75" customHeight="1">
      <c r="A9" s="89" t="s">
        <v>448</v>
      </c>
      <c r="B9" s="89" t="s">
        <v>449</v>
      </c>
      <c r="C9" s="89" t="s">
        <v>423</v>
      </c>
      <c r="D9" s="90">
        <v>1.0</v>
      </c>
      <c r="E9" s="91" t="s">
        <v>424</v>
      </c>
      <c r="F9" s="91" t="s">
        <v>450</v>
      </c>
      <c r="G9" s="89" t="s">
        <v>293</v>
      </c>
    </row>
    <row r="10" ht="21.75" customHeight="1">
      <c r="A10" s="89" t="s">
        <v>448</v>
      </c>
      <c r="B10" s="89" t="s">
        <v>451</v>
      </c>
      <c r="C10" s="89" t="s">
        <v>427</v>
      </c>
      <c r="D10" s="90">
        <v>2.0</v>
      </c>
      <c r="E10" s="91" t="s">
        <v>452</v>
      </c>
      <c r="F10" s="91" t="s">
        <v>453</v>
      </c>
      <c r="G10" s="89" t="s">
        <v>454</v>
      </c>
    </row>
    <row r="11" ht="21.75" customHeight="1">
      <c r="A11" s="89" t="s">
        <v>448</v>
      </c>
      <c r="B11" s="89" t="s">
        <v>455</v>
      </c>
      <c r="C11" s="89" t="s">
        <v>456</v>
      </c>
      <c r="D11" s="90">
        <v>3.0</v>
      </c>
      <c r="E11" s="91" t="s">
        <v>457</v>
      </c>
      <c r="F11" s="91" t="s">
        <v>458</v>
      </c>
      <c r="G11" s="89" t="s">
        <v>443</v>
      </c>
    </row>
    <row r="12" ht="21.75" customHeight="1">
      <c r="A12" s="89" t="s">
        <v>448</v>
      </c>
      <c r="B12" s="89" t="s">
        <v>459</v>
      </c>
      <c r="C12" s="89" t="s">
        <v>460</v>
      </c>
      <c r="D12" s="90">
        <v>4.0</v>
      </c>
      <c r="E12" s="91" t="s">
        <v>461</v>
      </c>
      <c r="F12" s="91" t="s">
        <v>462</v>
      </c>
      <c r="G12" s="89" t="s">
        <v>293</v>
      </c>
    </row>
    <row r="13" ht="21.75" customHeight="1">
      <c r="A13" s="89" t="s">
        <v>448</v>
      </c>
      <c r="B13" s="89" t="s">
        <v>463</v>
      </c>
      <c r="C13" s="89" t="s">
        <v>464</v>
      </c>
      <c r="D13" s="90">
        <v>5.0</v>
      </c>
      <c r="E13" s="91" t="s">
        <v>465</v>
      </c>
      <c r="F13" s="91" t="s">
        <v>466</v>
      </c>
      <c r="G13" s="89" t="s">
        <v>438</v>
      </c>
    </row>
    <row r="14" ht="21.75" customHeight="1">
      <c r="A14" s="89" t="s">
        <v>448</v>
      </c>
      <c r="B14" s="89" t="s">
        <v>467</v>
      </c>
      <c r="C14" s="89" t="s">
        <v>468</v>
      </c>
      <c r="D14" s="90">
        <v>6.0</v>
      </c>
      <c r="E14" s="91" t="s">
        <v>469</v>
      </c>
      <c r="F14" s="91" t="s">
        <v>470</v>
      </c>
      <c r="G14" s="89" t="s">
        <v>443</v>
      </c>
    </row>
    <row r="15" ht="21.75" customHeight="1">
      <c r="A15" s="89" t="s">
        <v>448</v>
      </c>
      <c r="B15" s="89" t="s">
        <v>471</v>
      </c>
      <c r="C15" s="89" t="s">
        <v>445</v>
      </c>
      <c r="D15" s="90">
        <v>7.0</v>
      </c>
      <c r="E15" s="91" t="s">
        <v>446</v>
      </c>
      <c r="F15" s="91" t="s">
        <v>447</v>
      </c>
      <c r="G15" s="89" t="s">
        <v>296</v>
      </c>
    </row>
    <row r="16" ht="21.75" customHeight="1">
      <c r="A16" s="92" t="s">
        <v>472</v>
      </c>
      <c r="B16" s="92" t="s">
        <v>473</v>
      </c>
      <c r="C16" s="92" t="s">
        <v>423</v>
      </c>
      <c r="D16" s="93">
        <v>1.0</v>
      </c>
      <c r="E16" s="94" t="s">
        <v>474</v>
      </c>
      <c r="F16" s="94" t="s">
        <v>475</v>
      </c>
      <c r="G16" s="92" t="s">
        <v>293</v>
      </c>
    </row>
    <row r="17" ht="21.75" customHeight="1">
      <c r="A17" s="92" t="s">
        <v>472</v>
      </c>
      <c r="B17" s="92" t="s">
        <v>476</v>
      </c>
      <c r="C17" s="92" t="s">
        <v>477</v>
      </c>
      <c r="D17" s="93">
        <v>2.0</v>
      </c>
      <c r="E17" s="94" t="s">
        <v>478</v>
      </c>
      <c r="F17" s="94" t="s">
        <v>479</v>
      </c>
      <c r="G17" s="92" t="s">
        <v>296</v>
      </c>
    </row>
    <row r="18" ht="21.75" customHeight="1">
      <c r="A18" s="92" t="s">
        <v>472</v>
      </c>
      <c r="B18" s="92" t="s">
        <v>480</v>
      </c>
      <c r="C18" s="92" t="s">
        <v>427</v>
      </c>
      <c r="D18" s="93">
        <v>3.0</v>
      </c>
      <c r="E18" s="94" t="s">
        <v>481</v>
      </c>
      <c r="F18" s="94" t="s">
        <v>482</v>
      </c>
      <c r="G18" s="92" t="s">
        <v>293</v>
      </c>
    </row>
    <row r="19" ht="21.75" customHeight="1">
      <c r="A19" s="92" t="s">
        <v>472</v>
      </c>
      <c r="B19" s="92" t="s">
        <v>483</v>
      </c>
      <c r="C19" s="92" t="s">
        <v>484</v>
      </c>
      <c r="D19" s="93">
        <v>4.0</v>
      </c>
      <c r="E19" s="94" t="s">
        <v>485</v>
      </c>
      <c r="F19" s="94" t="s">
        <v>462</v>
      </c>
      <c r="G19" s="92" t="s">
        <v>293</v>
      </c>
    </row>
    <row r="20" ht="21.75" customHeight="1">
      <c r="A20" s="92" t="s">
        <v>472</v>
      </c>
      <c r="B20" s="92" t="s">
        <v>486</v>
      </c>
      <c r="C20" s="92" t="s">
        <v>464</v>
      </c>
      <c r="D20" s="93">
        <v>5.0</v>
      </c>
      <c r="E20" s="94" t="s">
        <v>487</v>
      </c>
      <c r="F20" s="94" t="s">
        <v>466</v>
      </c>
      <c r="G20" s="92" t="s">
        <v>438</v>
      </c>
    </row>
    <row r="21" ht="21.75" customHeight="1">
      <c r="A21" s="92" t="s">
        <v>472</v>
      </c>
      <c r="B21" s="92" t="s">
        <v>488</v>
      </c>
      <c r="C21" s="92" t="s">
        <v>489</v>
      </c>
      <c r="D21" s="93">
        <v>6.0</v>
      </c>
      <c r="E21" s="94" t="s">
        <v>490</v>
      </c>
      <c r="F21" s="94" t="s">
        <v>491</v>
      </c>
      <c r="G21" s="92" t="s">
        <v>443</v>
      </c>
    </row>
    <row r="22" ht="21.75" customHeight="1">
      <c r="A22" s="92" t="s">
        <v>472</v>
      </c>
      <c r="B22" s="92" t="s">
        <v>492</v>
      </c>
      <c r="C22" s="92" t="s">
        <v>445</v>
      </c>
      <c r="D22" s="93">
        <v>7.0</v>
      </c>
      <c r="E22" s="94" t="s">
        <v>446</v>
      </c>
      <c r="F22" s="94" t="s">
        <v>447</v>
      </c>
      <c r="G22" s="92" t="s">
        <v>296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1.38"/>
    <col customWidth="1" min="2" max="2" width="9.13"/>
    <col customWidth="1" min="3" max="3" width="12.38"/>
    <col customWidth="1" min="4" max="4" width="30.75"/>
    <col customWidth="1" min="5" max="5" width="31.88"/>
    <col customWidth="1" min="6" max="26" width="8.0"/>
  </cols>
  <sheetData>
    <row r="1" ht="33.75" customHeight="1">
      <c r="A1" s="52" t="s">
        <v>493</v>
      </c>
      <c r="B1" s="53"/>
      <c r="C1" s="53"/>
      <c r="D1" s="53"/>
      <c r="E1" s="54"/>
    </row>
    <row r="2" ht="36.0" customHeight="1">
      <c r="A2" s="95" t="s">
        <v>494</v>
      </c>
      <c r="B2" s="95" t="s">
        <v>495</v>
      </c>
      <c r="C2" s="95" t="s">
        <v>496</v>
      </c>
      <c r="D2" s="95" t="s">
        <v>419</v>
      </c>
      <c r="E2" s="95" t="s">
        <v>497</v>
      </c>
    </row>
    <row r="3" ht="15.75" customHeight="1">
      <c r="A3" s="96" t="s">
        <v>498</v>
      </c>
      <c r="B3" s="97"/>
      <c r="C3" s="97"/>
      <c r="D3" s="97"/>
      <c r="E3" s="98"/>
    </row>
    <row r="4" ht="19.5" customHeight="1">
      <c r="A4" s="99" t="s">
        <v>499</v>
      </c>
      <c r="B4" s="100">
        <v>7.0</v>
      </c>
      <c r="C4" s="101" t="s">
        <v>500</v>
      </c>
      <c r="D4" s="102" t="s">
        <v>501</v>
      </c>
      <c r="E4" s="103" t="s">
        <v>502</v>
      </c>
    </row>
    <row r="5" ht="6.0" customHeight="1"/>
    <row r="6" ht="15.75" customHeight="1">
      <c r="A6" s="96" t="s">
        <v>503</v>
      </c>
      <c r="B6" s="97"/>
      <c r="C6" s="97"/>
      <c r="D6" s="97"/>
      <c r="E6" s="98"/>
    </row>
    <row r="7" ht="19.5" customHeight="1">
      <c r="A7" s="99" t="s">
        <v>504</v>
      </c>
      <c r="B7" s="100">
        <v>0.0</v>
      </c>
      <c r="C7" s="101" t="s">
        <v>500</v>
      </c>
      <c r="D7" s="102" t="s">
        <v>505</v>
      </c>
      <c r="E7" s="103" t="s">
        <v>506</v>
      </c>
    </row>
    <row r="8" ht="19.5" customHeight="1">
      <c r="A8" s="99" t="s">
        <v>507</v>
      </c>
      <c r="B8" s="100">
        <v>8.0</v>
      </c>
      <c r="C8" s="101" t="s">
        <v>500</v>
      </c>
      <c r="D8" s="102" t="s">
        <v>508</v>
      </c>
      <c r="E8" s="103" t="s">
        <v>509</v>
      </c>
    </row>
    <row r="9" ht="19.5" customHeight="1">
      <c r="A9" s="99" t="s">
        <v>510</v>
      </c>
      <c r="B9" s="100">
        <v>13.0</v>
      </c>
      <c r="C9" s="101" t="s">
        <v>500</v>
      </c>
      <c r="D9" s="102" t="s">
        <v>511</v>
      </c>
      <c r="E9" s="103" t="s">
        <v>512</v>
      </c>
    </row>
    <row r="10" ht="19.5" customHeight="1">
      <c r="A10" s="99" t="s">
        <v>513</v>
      </c>
      <c r="B10" s="100">
        <v>21.0</v>
      </c>
      <c r="C10" s="101" t="s">
        <v>500</v>
      </c>
      <c r="D10" s="102" t="s">
        <v>514</v>
      </c>
      <c r="E10" s="103" t="s">
        <v>512</v>
      </c>
    </row>
    <row r="11" ht="6.0" customHeight="1"/>
    <row r="12" ht="15.75" customHeight="1">
      <c r="A12" s="96" t="s">
        <v>515</v>
      </c>
      <c r="B12" s="97"/>
      <c r="C12" s="97"/>
      <c r="D12" s="97"/>
      <c r="E12" s="98"/>
    </row>
    <row r="13" ht="19.5" customHeight="1">
      <c r="A13" s="99" t="s">
        <v>516</v>
      </c>
      <c r="B13" s="100">
        <v>8.47</v>
      </c>
      <c r="C13" s="101" t="s">
        <v>517</v>
      </c>
      <c r="D13" s="102" t="s">
        <v>518</v>
      </c>
      <c r="E13" s="103" t="s">
        <v>519</v>
      </c>
    </row>
    <row r="14" ht="19.5" customHeight="1">
      <c r="A14" s="99" t="s">
        <v>520</v>
      </c>
      <c r="B14" s="100">
        <v>21.33</v>
      </c>
      <c r="C14" s="101" t="s">
        <v>517</v>
      </c>
      <c r="D14" s="102" t="s">
        <v>521</v>
      </c>
      <c r="E14" s="103"/>
    </row>
    <row r="15" ht="19.5" customHeight="1">
      <c r="A15" s="99" t="s">
        <v>522</v>
      </c>
      <c r="B15" s="100">
        <v>52.74</v>
      </c>
      <c r="C15" s="101" t="s">
        <v>517</v>
      </c>
      <c r="D15" s="102" t="s">
        <v>523</v>
      </c>
      <c r="E15" s="103"/>
    </row>
    <row r="16" ht="19.5" customHeight="1">
      <c r="A16" s="99" t="s">
        <v>524</v>
      </c>
      <c r="B16" s="100">
        <v>17.46</v>
      </c>
      <c r="C16" s="101" t="s">
        <v>517</v>
      </c>
      <c r="D16" s="102" t="s">
        <v>525</v>
      </c>
      <c r="E16" s="103"/>
    </row>
    <row r="17" ht="6.0" customHeight="1"/>
    <row r="18" ht="15.75" customHeight="1">
      <c r="A18" s="96" t="s">
        <v>526</v>
      </c>
      <c r="B18" s="97"/>
      <c r="C18" s="97"/>
      <c r="D18" s="97"/>
      <c r="E18" s="98"/>
    </row>
    <row r="19" ht="19.5" customHeight="1">
      <c r="A19" s="99" t="s">
        <v>527</v>
      </c>
      <c r="B19" s="100">
        <v>10527.0</v>
      </c>
      <c r="C19" s="101" t="s">
        <v>528</v>
      </c>
      <c r="D19" s="102" t="s">
        <v>529</v>
      </c>
      <c r="E19" s="103" t="s">
        <v>530</v>
      </c>
    </row>
    <row r="20" ht="19.5" customHeight="1">
      <c r="A20" s="99" t="s">
        <v>531</v>
      </c>
      <c r="B20" s="100">
        <v>7260.0</v>
      </c>
      <c r="C20" s="101" t="s">
        <v>532</v>
      </c>
      <c r="D20" s="102" t="s">
        <v>533</v>
      </c>
      <c r="E20" s="103"/>
    </row>
    <row r="21" ht="19.5" customHeight="1">
      <c r="A21" s="99" t="s">
        <v>534</v>
      </c>
      <c r="B21" s="100">
        <v>3000.0</v>
      </c>
      <c r="C21" s="101" t="s">
        <v>535</v>
      </c>
      <c r="D21" s="102" t="s">
        <v>536</v>
      </c>
      <c r="E21" s="103" t="s">
        <v>537</v>
      </c>
    </row>
    <row r="22" ht="19.5" customHeight="1">
      <c r="A22" s="99" t="s">
        <v>538</v>
      </c>
      <c r="B22" s="100">
        <v>200.0</v>
      </c>
      <c r="C22" s="101" t="s">
        <v>539</v>
      </c>
      <c r="D22" s="102" t="s">
        <v>540</v>
      </c>
      <c r="E22" s="103"/>
    </row>
    <row r="23" ht="19.5" customHeight="1">
      <c r="A23" s="99" t="s">
        <v>541</v>
      </c>
      <c r="B23" s="100">
        <v>400.0</v>
      </c>
      <c r="C23" s="101" t="s">
        <v>532</v>
      </c>
      <c r="D23" s="102" t="s">
        <v>542</v>
      </c>
      <c r="E23" s="103"/>
    </row>
    <row r="24" ht="19.5" customHeight="1">
      <c r="A24" s="99" t="s">
        <v>543</v>
      </c>
      <c r="B24" s="100">
        <v>0.0</v>
      </c>
      <c r="C24" s="101" t="s">
        <v>544</v>
      </c>
      <c r="D24" s="102" t="s">
        <v>545</v>
      </c>
      <c r="E24" s="103" t="s">
        <v>546</v>
      </c>
    </row>
    <row r="25" ht="19.5" customHeight="1">
      <c r="A25" s="99" t="s">
        <v>547</v>
      </c>
      <c r="B25" s="100">
        <v>0.0</v>
      </c>
      <c r="C25" s="101" t="s">
        <v>548</v>
      </c>
      <c r="D25" s="102" t="s">
        <v>549</v>
      </c>
      <c r="E25" s="103" t="s">
        <v>550</v>
      </c>
    </row>
    <row r="26" ht="6.0" customHeight="1"/>
    <row r="27" ht="15.75" customHeight="1">
      <c r="A27" s="96" t="s">
        <v>551</v>
      </c>
      <c r="B27" s="97"/>
      <c r="C27" s="97"/>
      <c r="D27" s="97"/>
      <c r="E27" s="98"/>
    </row>
    <row r="28" ht="19.5" customHeight="1">
      <c r="A28" s="99" t="s">
        <v>552</v>
      </c>
      <c r="B28" s="100">
        <v>22.0</v>
      </c>
      <c r="C28" s="101" t="s">
        <v>553</v>
      </c>
      <c r="D28" s="102" t="s">
        <v>554</v>
      </c>
      <c r="E28" s="103" t="s">
        <v>555</v>
      </c>
    </row>
    <row r="29" ht="19.5" customHeight="1">
      <c r="A29" s="99" t="s">
        <v>556</v>
      </c>
      <c r="B29" s="100">
        <v>30.0</v>
      </c>
      <c r="C29" s="101" t="s">
        <v>553</v>
      </c>
      <c r="D29" s="102" t="s">
        <v>557</v>
      </c>
      <c r="E29" s="103" t="s">
        <v>555</v>
      </c>
    </row>
    <row r="30" ht="19.5" customHeight="1">
      <c r="A30" s="99" t="s">
        <v>558</v>
      </c>
      <c r="B30" s="100">
        <v>500.0</v>
      </c>
      <c r="C30" s="101" t="s">
        <v>559</v>
      </c>
      <c r="D30" s="102" t="s">
        <v>560</v>
      </c>
      <c r="E30" s="103"/>
    </row>
    <row r="31" ht="19.5" customHeight="1">
      <c r="A31" s="99" t="s">
        <v>561</v>
      </c>
      <c r="B31" s="100">
        <v>5.0</v>
      </c>
      <c r="C31" s="101" t="s">
        <v>562</v>
      </c>
      <c r="D31" s="102" t="s">
        <v>563</v>
      </c>
      <c r="E31" s="103" t="s">
        <v>564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E1"/>
    <mergeCell ref="A3:E3"/>
    <mergeCell ref="A6:E6"/>
    <mergeCell ref="A12:E12"/>
    <mergeCell ref="A18:E18"/>
    <mergeCell ref="A27:E27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1.0"/>
    <col customWidth="1" min="2" max="2" width="13.5"/>
    <col customWidth="1" min="3" max="3" width="12.38"/>
    <col customWidth="1" min="4" max="4" width="10.5"/>
    <col customWidth="1" min="5" max="5" width="10.63"/>
    <col customWidth="1" min="6" max="6" width="12.0"/>
    <col customWidth="1" min="7" max="7" width="10.88"/>
    <col customWidth="1" min="8" max="8" width="11.38"/>
    <col customWidth="1" min="9" max="9" width="9.38"/>
    <col customWidth="1" min="10" max="10" width="12.75"/>
    <col customWidth="1" min="11" max="11" width="11.13"/>
    <col customWidth="1" min="12" max="26" width="8.0"/>
  </cols>
  <sheetData>
    <row r="1" ht="33.75" customHeight="1">
      <c r="A1" s="52" t="s">
        <v>565</v>
      </c>
      <c r="B1" s="53"/>
      <c r="C1" s="53"/>
      <c r="D1" s="53"/>
      <c r="E1" s="53"/>
      <c r="F1" s="53"/>
      <c r="G1" s="53"/>
      <c r="H1" s="53"/>
      <c r="I1" s="53"/>
      <c r="J1" s="53"/>
      <c r="K1" s="54"/>
    </row>
    <row r="2" ht="15.75" customHeight="1">
      <c r="A2" s="104" t="s">
        <v>566</v>
      </c>
      <c r="B2" s="53"/>
      <c r="C2" s="53"/>
      <c r="D2" s="53"/>
      <c r="E2" s="53"/>
      <c r="F2" s="53"/>
      <c r="G2" s="53"/>
      <c r="H2" s="53"/>
      <c r="I2" s="53"/>
      <c r="J2" s="53"/>
      <c r="K2" s="54"/>
    </row>
    <row r="3" ht="37.5" customHeight="1">
      <c r="A3" s="105" t="s">
        <v>0</v>
      </c>
      <c r="B3" s="105" t="s">
        <v>351</v>
      </c>
      <c r="C3" s="105" t="s">
        <v>567</v>
      </c>
      <c r="D3" s="105" t="s">
        <v>568</v>
      </c>
      <c r="E3" s="105" t="s">
        <v>569</v>
      </c>
      <c r="F3" s="105" t="s">
        <v>570</v>
      </c>
      <c r="G3" s="105" t="s">
        <v>571</v>
      </c>
      <c r="H3" s="105" t="s">
        <v>572</v>
      </c>
      <c r="I3" s="105" t="s">
        <v>573</v>
      </c>
      <c r="J3" s="105" t="s">
        <v>574</v>
      </c>
      <c r="K3" s="105" t="s">
        <v>575</v>
      </c>
    </row>
    <row r="4" ht="21.75" customHeight="1">
      <c r="A4" s="106" t="s">
        <v>20</v>
      </c>
      <c r="B4" s="107" t="s">
        <v>21</v>
      </c>
      <c r="C4" s="108">
        <v>5.0</v>
      </c>
      <c r="D4" s="100"/>
      <c r="E4" s="100"/>
      <c r="F4" s="108">
        <v>50.0</v>
      </c>
      <c r="G4" s="108">
        <v>80.0</v>
      </c>
      <c r="H4" s="100"/>
      <c r="I4" s="100"/>
      <c r="J4" s="100"/>
      <c r="K4" s="100"/>
    </row>
    <row r="5" ht="21.75" customHeight="1">
      <c r="A5" s="106" t="s">
        <v>32</v>
      </c>
      <c r="B5" s="107" t="s">
        <v>33</v>
      </c>
      <c r="C5" s="100"/>
      <c r="D5" s="100"/>
      <c r="E5" s="100"/>
      <c r="F5" s="100"/>
      <c r="G5" s="100"/>
      <c r="H5" s="100"/>
      <c r="I5" s="100"/>
      <c r="J5" s="100"/>
      <c r="K5" s="100"/>
    </row>
    <row r="6" ht="21.75" customHeight="1">
      <c r="A6" s="106" t="s">
        <v>40</v>
      </c>
      <c r="B6" s="107" t="s">
        <v>41</v>
      </c>
      <c r="C6" s="100"/>
      <c r="D6" s="100"/>
      <c r="E6" s="100"/>
      <c r="F6" s="100"/>
      <c r="G6" s="100"/>
      <c r="H6" s="100"/>
      <c r="I6" s="100"/>
      <c r="J6" s="100"/>
      <c r="K6" s="100"/>
    </row>
    <row r="7" ht="21.75" customHeight="1">
      <c r="A7" s="106" t="s">
        <v>74</v>
      </c>
      <c r="B7" s="107" t="s">
        <v>576</v>
      </c>
      <c r="C7" s="100"/>
      <c r="D7" s="100"/>
      <c r="E7" s="100"/>
      <c r="F7" s="100"/>
      <c r="G7" s="100"/>
      <c r="H7" s="100"/>
      <c r="I7" s="100"/>
      <c r="J7" s="100"/>
      <c r="K7" s="100"/>
    </row>
    <row r="8" ht="21.75" customHeight="1">
      <c r="A8" s="106" t="s">
        <v>47</v>
      </c>
      <c r="B8" s="107" t="s">
        <v>577</v>
      </c>
      <c r="C8" s="100"/>
      <c r="D8" s="100"/>
      <c r="E8" s="100"/>
      <c r="F8" s="100"/>
      <c r="G8" s="100"/>
      <c r="H8" s="100"/>
      <c r="I8" s="100"/>
      <c r="J8" s="100"/>
      <c r="K8" s="100"/>
    </row>
    <row r="9" ht="21.75" customHeight="1">
      <c r="A9" s="106" t="s">
        <v>53</v>
      </c>
      <c r="B9" s="107" t="s">
        <v>55</v>
      </c>
      <c r="C9" s="100"/>
      <c r="D9" s="100"/>
      <c r="E9" s="100"/>
      <c r="F9" s="100"/>
      <c r="G9" s="100"/>
      <c r="H9" s="100"/>
      <c r="I9" s="100"/>
      <c r="J9" s="100"/>
      <c r="K9" s="100"/>
    </row>
    <row r="10" ht="21.75" customHeight="1">
      <c r="A10" s="106" t="s">
        <v>58</v>
      </c>
      <c r="B10" s="107" t="s">
        <v>60</v>
      </c>
      <c r="C10" s="100"/>
      <c r="D10" s="100"/>
      <c r="E10" s="100"/>
      <c r="F10" s="100"/>
      <c r="G10" s="100"/>
      <c r="H10" s="100"/>
      <c r="I10" s="100"/>
      <c r="J10" s="100"/>
      <c r="K10" s="100"/>
    </row>
    <row r="11" ht="21.75" customHeight="1">
      <c r="A11" s="106" t="s">
        <v>63</v>
      </c>
      <c r="B11" s="107" t="s">
        <v>66</v>
      </c>
      <c r="C11" s="100"/>
      <c r="D11" s="100"/>
      <c r="E11" s="100"/>
      <c r="F11" s="100"/>
      <c r="G11" s="100"/>
      <c r="H11" s="100"/>
      <c r="I11" s="100"/>
      <c r="J11" s="100"/>
      <c r="K11" s="100"/>
    </row>
    <row r="12" ht="21.75" customHeight="1">
      <c r="A12" s="106" t="s">
        <v>69</v>
      </c>
      <c r="B12" s="107" t="s">
        <v>71</v>
      </c>
      <c r="C12" s="100"/>
      <c r="D12" s="100"/>
      <c r="E12" s="100"/>
      <c r="F12" s="100"/>
      <c r="G12" s="100"/>
      <c r="H12" s="100"/>
      <c r="I12" s="100"/>
      <c r="J12" s="100"/>
      <c r="K12" s="100"/>
    </row>
    <row r="13" ht="21.75" customHeight="1">
      <c r="A13" s="106" t="s">
        <v>78</v>
      </c>
      <c r="B13" s="107" t="s">
        <v>79</v>
      </c>
      <c r="C13" s="100"/>
      <c r="D13" s="100"/>
      <c r="E13" s="100"/>
      <c r="F13" s="100"/>
      <c r="G13" s="100"/>
      <c r="H13" s="100"/>
      <c r="I13" s="100"/>
      <c r="J13" s="100"/>
      <c r="K13" s="100"/>
    </row>
    <row r="14" ht="21.75" customHeight="1">
      <c r="A14" s="106" t="s">
        <v>82</v>
      </c>
      <c r="B14" s="107" t="s">
        <v>84</v>
      </c>
      <c r="C14" s="100"/>
      <c r="D14" s="100"/>
      <c r="E14" s="100"/>
      <c r="F14" s="100"/>
      <c r="G14" s="100"/>
      <c r="H14" s="100"/>
      <c r="I14" s="100"/>
      <c r="J14" s="100"/>
      <c r="K14" s="100"/>
    </row>
    <row r="15" ht="21.75" customHeight="1">
      <c r="A15" s="106" t="s">
        <v>87</v>
      </c>
      <c r="B15" s="107" t="s">
        <v>88</v>
      </c>
      <c r="C15" s="100"/>
      <c r="D15" s="100"/>
      <c r="E15" s="100"/>
      <c r="F15" s="100"/>
      <c r="G15" s="100"/>
      <c r="H15" s="100"/>
      <c r="I15" s="100"/>
      <c r="J15" s="100"/>
      <c r="K15" s="100"/>
    </row>
    <row r="16" ht="21.75" customHeight="1">
      <c r="A16" s="106" t="s">
        <v>92</v>
      </c>
      <c r="B16" s="107" t="s">
        <v>95</v>
      </c>
      <c r="C16" s="100"/>
      <c r="D16" s="100"/>
      <c r="E16" s="100"/>
      <c r="F16" s="100"/>
      <c r="G16" s="100"/>
      <c r="H16" s="100"/>
      <c r="I16" s="100"/>
      <c r="J16" s="100"/>
      <c r="K16" s="100"/>
    </row>
    <row r="17" ht="21.75" customHeight="1">
      <c r="A17" s="106" t="s">
        <v>97</v>
      </c>
      <c r="B17" s="107" t="s">
        <v>99</v>
      </c>
      <c r="C17" s="100"/>
      <c r="D17" s="100"/>
      <c r="E17" s="100"/>
      <c r="F17" s="100"/>
      <c r="G17" s="100"/>
      <c r="H17" s="100"/>
      <c r="I17" s="100"/>
      <c r="J17" s="100"/>
      <c r="K17" s="10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6.38"/>
    <col customWidth="1" min="2" max="2" width="135.5"/>
    <col customWidth="1" min="3" max="3" width="34.13"/>
    <col customWidth="1" min="4" max="4" width="29.25"/>
    <col customWidth="1" min="5" max="26" width="8.0"/>
  </cols>
  <sheetData>
    <row r="1" ht="33.75" customHeight="1">
      <c r="A1" s="52" t="s">
        <v>578</v>
      </c>
      <c r="B1" s="53"/>
      <c r="C1" s="53"/>
      <c r="D1" s="54"/>
    </row>
    <row r="2" ht="36.0" customHeight="1">
      <c r="A2" s="95" t="s">
        <v>579</v>
      </c>
      <c r="B2" s="95" t="s">
        <v>580</v>
      </c>
      <c r="C2" s="95" t="s">
        <v>419</v>
      </c>
      <c r="D2" s="95" t="s">
        <v>581</v>
      </c>
    </row>
    <row r="3" ht="15.75" customHeight="1">
      <c r="A3" s="96" t="s">
        <v>582</v>
      </c>
      <c r="B3" s="97"/>
      <c r="C3" s="97"/>
      <c r="D3" s="98"/>
    </row>
    <row r="4" ht="19.5" customHeight="1">
      <c r="A4" s="99" t="s">
        <v>583</v>
      </c>
      <c r="B4" s="107" t="s">
        <v>584</v>
      </c>
      <c r="C4" s="102" t="s">
        <v>585</v>
      </c>
      <c r="D4" s="103" t="s">
        <v>586</v>
      </c>
    </row>
    <row r="5" ht="19.5" customHeight="1">
      <c r="A5" s="99" t="s">
        <v>587</v>
      </c>
      <c r="B5" s="107" t="s">
        <v>588</v>
      </c>
      <c r="C5" s="102" t="s">
        <v>589</v>
      </c>
      <c r="D5" s="103" t="s">
        <v>590</v>
      </c>
    </row>
    <row r="6" ht="19.5" customHeight="1">
      <c r="A6" s="99" t="s">
        <v>11</v>
      </c>
      <c r="B6" s="109" t="s">
        <v>591</v>
      </c>
      <c r="C6" s="102" t="s">
        <v>592</v>
      </c>
      <c r="D6" s="103"/>
    </row>
    <row r="7" ht="6.0" customHeight="1"/>
    <row r="8" ht="15.75" customHeight="1">
      <c r="A8" s="96" t="s">
        <v>593</v>
      </c>
      <c r="B8" s="97"/>
      <c r="C8" s="97"/>
      <c r="D8" s="98"/>
    </row>
    <row r="9" ht="19.5" customHeight="1">
      <c r="A9" s="99" t="s">
        <v>594</v>
      </c>
      <c r="B9" s="109" t="s">
        <v>595</v>
      </c>
      <c r="C9" s="102" t="s">
        <v>596</v>
      </c>
      <c r="D9" s="103" t="s">
        <v>597</v>
      </c>
    </row>
    <row r="10" ht="19.5" customHeight="1">
      <c r="A10" s="99" t="s">
        <v>598</v>
      </c>
      <c r="B10" s="109" t="s">
        <v>599</v>
      </c>
      <c r="C10" s="102" t="s">
        <v>600</v>
      </c>
      <c r="D10" s="103" t="s">
        <v>601</v>
      </c>
    </row>
    <row r="11" ht="19.5" customHeight="1">
      <c r="A11" s="99" t="s">
        <v>602</v>
      </c>
      <c r="B11" s="109" t="s">
        <v>603</v>
      </c>
      <c r="C11" s="102" t="s">
        <v>604</v>
      </c>
      <c r="D11" s="103" t="s">
        <v>605</v>
      </c>
    </row>
    <row r="12" ht="19.5" customHeight="1">
      <c r="A12" s="99" t="s">
        <v>606</v>
      </c>
      <c r="B12" s="109" t="s">
        <v>607</v>
      </c>
      <c r="C12" s="102" t="s">
        <v>608</v>
      </c>
      <c r="D12" s="103" t="s">
        <v>609</v>
      </c>
    </row>
    <row r="13" ht="19.5" customHeight="1">
      <c r="A13" s="99" t="s">
        <v>610</v>
      </c>
      <c r="B13" s="109" t="s">
        <v>611</v>
      </c>
      <c r="C13" s="102" t="s">
        <v>612</v>
      </c>
      <c r="D13" s="103" t="s">
        <v>613</v>
      </c>
    </row>
    <row r="14" ht="6.0" customHeight="1"/>
    <row r="15" ht="15.75" customHeight="1">
      <c r="A15" s="96" t="s">
        <v>614</v>
      </c>
      <c r="B15" s="97"/>
      <c r="C15" s="97"/>
      <c r="D15" s="98"/>
    </row>
    <row r="16" ht="19.5" customHeight="1">
      <c r="A16" s="99" t="s">
        <v>615</v>
      </c>
      <c r="B16" s="109" t="s">
        <v>421</v>
      </c>
      <c r="C16" s="102" t="s">
        <v>616</v>
      </c>
      <c r="D16" s="103" t="s">
        <v>617</v>
      </c>
    </row>
    <row r="17" ht="19.5" customHeight="1">
      <c r="A17" s="99" t="s">
        <v>618</v>
      </c>
      <c r="B17" s="109" t="s">
        <v>619</v>
      </c>
      <c r="C17" s="102" t="s">
        <v>620</v>
      </c>
      <c r="D17" s="103"/>
    </row>
    <row r="18" ht="19.5" customHeight="1">
      <c r="A18" s="99" t="s">
        <v>621</v>
      </c>
      <c r="B18" s="109" t="s">
        <v>622</v>
      </c>
      <c r="C18" s="102" t="s">
        <v>623</v>
      </c>
      <c r="D18" s="103"/>
    </row>
    <row r="19" ht="19.5" customHeight="1">
      <c r="A19" s="99" t="s">
        <v>624</v>
      </c>
      <c r="B19" s="109" t="s">
        <v>448</v>
      </c>
      <c r="C19" s="102" t="s">
        <v>625</v>
      </c>
      <c r="D19" s="103" t="s">
        <v>626</v>
      </c>
    </row>
    <row r="20" ht="19.5" customHeight="1">
      <c r="A20" s="99" t="s">
        <v>627</v>
      </c>
      <c r="B20" s="109" t="s">
        <v>628</v>
      </c>
      <c r="C20" s="102" t="s">
        <v>620</v>
      </c>
      <c r="D20" s="103"/>
    </row>
    <row r="21" ht="19.5" customHeight="1">
      <c r="A21" s="99" t="s">
        <v>629</v>
      </c>
      <c r="B21" s="109" t="s">
        <v>626</v>
      </c>
      <c r="C21" s="102" t="s">
        <v>623</v>
      </c>
      <c r="D21" s="103"/>
    </row>
    <row r="22" ht="19.5" customHeight="1">
      <c r="A22" s="99" t="s">
        <v>630</v>
      </c>
      <c r="B22" s="109" t="s">
        <v>472</v>
      </c>
      <c r="C22" s="102" t="s">
        <v>631</v>
      </c>
      <c r="D22" s="103" t="s">
        <v>632</v>
      </c>
    </row>
    <row r="23" ht="19.5" customHeight="1">
      <c r="A23" s="99" t="s">
        <v>633</v>
      </c>
      <c r="B23" s="109" t="s">
        <v>634</v>
      </c>
      <c r="C23" s="102" t="s">
        <v>620</v>
      </c>
      <c r="D23" s="103"/>
    </row>
    <row r="24" ht="19.5" customHeight="1">
      <c r="A24" s="99" t="s">
        <v>635</v>
      </c>
      <c r="B24" s="109" t="s">
        <v>636</v>
      </c>
      <c r="C24" s="102" t="s">
        <v>623</v>
      </c>
      <c r="D24" s="103" t="s">
        <v>637</v>
      </c>
    </row>
    <row r="25" ht="6.0" customHeight="1"/>
    <row r="26" ht="15.75" customHeight="1">
      <c r="A26" s="96" t="s">
        <v>638</v>
      </c>
      <c r="B26" s="97"/>
      <c r="C26" s="97"/>
      <c r="D26" s="98"/>
    </row>
    <row r="27" ht="19.5" customHeight="1">
      <c r="A27" s="99" t="s">
        <v>639</v>
      </c>
      <c r="B27" s="109" t="s">
        <v>640</v>
      </c>
      <c r="C27" s="102" t="s">
        <v>641</v>
      </c>
      <c r="D27" s="103"/>
    </row>
    <row r="28" ht="19.5" customHeight="1">
      <c r="A28" s="99" t="s">
        <v>642</v>
      </c>
      <c r="B28" s="109" t="s">
        <v>643</v>
      </c>
      <c r="C28" s="102" t="s">
        <v>644</v>
      </c>
      <c r="D28" s="103"/>
    </row>
    <row r="29" ht="19.5" customHeight="1">
      <c r="A29" s="99" t="s">
        <v>645</v>
      </c>
      <c r="B29" s="109" t="s">
        <v>646</v>
      </c>
      <c r="C29" s="102" t="s">
        <v>647</v>
      </c>
      <c r="D29" s="103"/>
    </row>
    <row r="30" ht="19.5" customHeight="1">
      <c r="A30" s="99" t="s">
        <v>648</v>
      </c>
      <c r="B30" s="109" t="s">
        <v>649</v>
      </c>
      <c r="C30" s="102" t="s">
        <v>429</v>
      </c>
      <c r="D30" s="103"/>
    </row>
    <row r="31" ht="19.5" customHeight="1">
      <c r="A31" s="99" t="s">
        <v>650</v>
      </c>
      <c r="B31" s="109" t="s">
        <v>651</v>
      </c>
      <c r="C31" s="102" t="s">
        <v>652</v>
      </c>
      <c r="D31" s="103"/>
    </row>
    <row r="32" ht="19.5" customHeight="1">
      <c r="A32" s="99" t="s">
        <v>653</v>
      </c>
      <c r="B32" s="109" t="s">
        <v>462</v>
      </c>
      <c r="C32" s="102" t="s">
        <v>654</v>
      </c>
      <c r="D32" s="103"/>
    </row>
    <row r="33" ht="19.5" customHeight="1">
      <c r="A33" s="99" t="s">
        <v>655</v>
      </c>
      <c r="B33" s="109" t="s">
        <v>466</v>
      </c>
      <c r="C33" s="102" t="s">
        <v>656</v>
      </c>
      <c r="D33" s="103"/>
    </row>
    <row r="34" ht="19.5" customHeight="1">
      <c r="A34" s="99" t="s">
        <v>657</v>
      </c>
      <c r="B34" s="109" t="s">
        <v>440</v>
      </c>
      <c r="C34" s="102" t="s">
        <v>658</v>
      </c>
      <c r="D34" s="103"/>
    </row>
    <row r="35" ht="19.5" customHeight="1">
      <c r="A35" s="99" t="s">
        <v>659</v>
      </c>
      <c r="B35" s="109" t="s">
        <v>445</v>
      </c>
      <c r="C35" s="102" t="s">
        <v>660</v>
      </c>
      <c r="D35" s="103"/>
    </row>
    <row r="36" ht="19.5" customHeight="1">
      <c r="A36" s="99" t="s">
        <v>661</v>
      </c>
      <c r="B36" s="109" t="s">
        <v>662</v>
      </c>
      <c r="C36" s="102" t="s">
        <v>663</v>
      </c>
      <c r="D36" s="103" t="s">
        <v>664</v>
      </c>
    </row>
    <row r="37" ht="19.5" customHeight="1">
      <c r="A37" s="99" t="s">
        <v>665</v>
      </c>
      <c r="B37" s="109" t="s">
        <v>666</v>
      </c>
      <c r="C37" s="102" t="s">
        <v>667</v>
      </c>
      <c r="D37" s="103"/>
    </row>
    <row r="38" ht="6.0" customHeight="1"/>
    <row r="39" ht="15.75" customHeight="1">
      <c r="A39" s="96" t="s">
        <v>668</v>
      </c>
      <c r="B39" s="97"/>
      <c r="C39" s="97"/>
      <c r="D39" s="98"/>
    </row>
    <row r="40" ht="19.5" customHeight="1">
      <c r="A40" s="99" t="s">
        <v>669</v>
      </c>
      <c r="B40" s="109" t="s">
        <v>305</v>
      </c>
      <c r="C40" s="102" t="s">
        <v>670</v>
      </c>
      <c r="D40" s="103"/>
    </row>
    <row r="41" ht="19.5" customHeight="1">
      <c r="A41" s="99" t="s">
        <v>671</v>
      </c>
      <c r="B41" s="109" t="s">
        <v>301</v>
      </c>
      <c r="C41" s="102" t="s">
        <v>672</v>
      </c>
      <c r="D41" s="103"/>
    </row>
    <row r="42" ht="19.5" customHeight="1">
      <c r="A42" s="99" t="s">
        <v>673</v>
      </c>
      <c r="B42" s="109" t="s">
        <v>297</v>
      </c>
      <c r="C42" s="102" t="s">
        <v>674</v>
      </c>
      <c r="D42" s="103"/>
    </row>
    <row r="43" ht="19.5" customHeight="1">
      <c r="A43" s="99" t="s">
        <v>675</v>
      </c>
      <c r="B43" s="109" t="s">
        <v>676</v>
      </c>
      <c r="C43" s="102" t="s">
        <v>677</v>
      </c>
      <c r="D43" s="103"/>
    </row>
    <row r="44" ht="19.5" customHeight="1">
      <c r="A44" s="99" t="s">
        <v>678</v>
      </c>
      <c r="B44" s="109" t="s">
        <v>679</v>
      </c>
      <c r="C44" s="102" t="s">
        <v>680</v>
      </c>
      <c r="D44" s="103"/>
    </row>
    <row r="45" ht="6.0" customHeight="1"/>
    <row r="46" ht="15.75" customHeight="1">
      <c r="A46" s="96" t="s">
        <v>681</v>
      </c>
      <c r="B46" s="97"/>
      <c r="C46" s="97"/>
      <c r="D46" s="98"/>
    </row>
    <row r="47" ht="19.5" customHeight="1">
      <c r="A47" s="99" t="s">
        <v>682</v>
      </c>
      <c r="B47" s="109" t="s">
        <v>683</v>
      </c>
      <c r="C47" s="102" t="s">
        <v>684</v>
      </c>
      <c r="D47" s="103" t="s">
        <v>685</v>
      </c>
    </row>
    <row r="48" ht="19.5" customHeight="1">
      <c r="A48" s="99" t="s">
        <v>686</v>
      </c>
      <c r="B48" s="109" t="s">
        <v>147</v>
      </c>
      <c r="C48" s="102" t="s">
        <v>687</v>
      </c>
      <c r="D48" s="103"/>
    </row>
    <row r="49" ht="19.5" customHeight="1">
      <c r="A49" s="99" t="s">
        <v>688</v>
      </c>
      <c r="B49" s="109" t="s">
        <v>689</v>
      </c>
      <c r="C49" s="102" t="s">
        <v>690</v>
      </c>
      <c r="D49" s="103"/>
    </row>
    <row r="50" ht="19.5" customHeight="1">
      <c r="A50" s="99" t="s">
        <v>691</v>
      </c>
      <c r="B50" s="109" t="s">
        <v>692</v>
      </c>
      <c r="C50" s="102" t="s">
        <v>693</v>
      </c>
      <c r="D50" s="103"/>
    </row>
    <row r="51" ht="6.0" customHeight="1"/>
    <row r="52" ht="15.75" customHeight="1">
      <c r="A52" s="96" t="s">
        <v>694</v>
      </c>
      <c r="B52" s="97"/>
      <c r="C52" s="97"/>
      <c r="D52" s="98"/>
    </row>
    <row r="53" ht="19.5" customHeight="1">
      <c r="A53" s="99" t="s">
        <v>695</v>
      </c>
      <c r="B53" s="110" t="s">
        <v>696</v>
      </c>
      <c r="C53" s="102" t="s">
        <v>697</v>
      </c>
      <c r="D53" s="103" t="s">
        <v>698</v>
      </c>
    </row>
    <row r="54" ht="19.5" customHeight="1">
      <c r="A54" s="99" t="s">
        <v>699</v>
      </c>
      <c r="B54" s="111" t="s">
        <v>700</v>
      </c>
      <c r="C54" s="102" t="s">
        <v>701</v>
      </c>
      <c r="D54" s="103" t="s">
        <v>698</v>
      </c>
    </row>
    <row r="55" ht="19.5" customHeight="1">
      <c r="A55" s="99" t="s">
        <v>702</v>
      </c>
      <c r="B55" s="111" t="s">
        <v>703</v>
      </c>
      <c r="C55" s="102" t="s">
        <v>704</v>
      </c>
      <c r="D55" s="103" t="s">
        <v>698</v>
      </c>
    </row>
    <row r="56" ht="19.5" customHeight="1">
      <c r="A56" s="99" t="s">
        <v>705</v>
      </c>
      <c r="B56" s="111" t="s">
        <v>706</v>
      </c>
      <c r="C56" s="102" t="s">
        <v>707</v>
      </c>
      <c r="D56" s="103" t="s">
        <v>698</v>
      </c>
    </row>
    <row r="57" ht="15.75" customHeight="1">
      <c r="A57" s="38" t="s">
        <v>708</v>
      </c>
      <c r="B57" s="112" t="s">
        <v>709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D1"/>
    <mergeCell ref="A3:D3"/>
    <mergeCell ref="A8:D8"/>
    <mergeCell ref="A15:D15"/>
    <mergeCell ref="A26:D26"/>
    <mergeCell ref="A39:D39"/>
    <mergeCell ref="A46:D46"/>
    <mergeCell ref="A52:D52"/>
  </mergeCells>
  <hyperlinks>
    <hyperlink r:id="rId1" ref="B53"/>
    <hyperlink r:id="rId2" ref="B54"/>
    <hyperlink r:id="rId3" ref="B55"/>
    <hyperlink r:id="rId4" ref="B56"/>
    <hyperlink r:id="rId5" ref="B57"/>
  </hyperlinks>
  <printOptions/>
  <pageMargins bottom="1.0" footer="0.0" header="0.0" left="0.75" right="0.75" top="1.0"/>
  <pageSetup orientation="landscape"/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88"/>
    <col customWidth="1" min="2" max="2" width="25.63"/>
    <col customWidth="1" min="3" max="3" width="45.5"/>
    <col customWidth="1" min="4" max="4" width="22.38"/>
    <col customWidth="1" min="5" max="5" width="17.0"/>
    <col customWidth="1" min="6" max="6" width="18.38"/>
    <col customWidth="1" min="7" max="7" width="19.25"/>
    <col customWidth="1" min="8" max="8" width="20.25"/>
    <col customWidth="1" min="9" max="9" width="14.13"/>
    <col customWidth="1" min="10" max="10" width="15.75"/>
    <col customWidth="1" min="11" max="11" width="17.63"/>
    <col customWidth="1" min="12" max="12" width="15.88"/>
    <col customWidth="1" min="13" max="13" width="18.25"/>
    <col customWidth="1" min="14" max="14" width="37.63"/>
    <col customWidth="1" min="15" max="15" width="16.0"/>
    <col customWidth="1" min="18" max="18" width="13.88"/>
    <col customWidth="1" min="19" max="19" width="27.63"/>
  </cols>
  <sheetData>
    <row r="1" ht="22.5" customHeight="1">
      <c r="A1" s="113" t="s">
        <v>710</v>
      </c>
      <c r="B1" s="113" t="s">
        <v>711</v>
      </c>
      <c r="C1" s="114" t="s">
        <v>281</v>
      </c>
      <c r="D1" s="114" t="s">
        <v>712</v>
      </c>
      <c r="E1" s="113" t="s">
        <v>713</v>
      </c>
      <c r="F1" s="113" t="s">
        <v>282</v>
      </c>
      <c r="G1" s="113" t="s">
        <v>714</v>
      </c>
      <c r="H1" s="115" t="s">
        <v>715</v>
      </c>
      <c r="I1" s="113" t="s">
        <v>288</v>
      </c>
      <c r="J1" s="113" t="s">
        <v>716</v>
      </c>
      <c r="K1" s="113" t="s">
        <v>717</v>
      </c>
      <c r="L1" s="113" t="s">
        <v>718</v>
      </c>
      <c r="M1" s="113" t="s">
        <v>719</v>
      </c>
      <c r="N1" s="114" t="s">
        <v>720</v>
      </c>
      <c r="O1" s="113" t="s">
        <v>721</v>
      </c>
      <c r="P1" s="114" t="s">
        <v>280</v>
      </c>
      <c r="Q1" s="114" t="s">
        <v>722</v>
      </c>
      <c r="R1" s="113" t="s">
        <v>723</v>
      </c>
      <c r="S1" s="116" t="s">
        <v>724</v>
      </c>
    </row>
    <row r="2" ht="22.5" customHeight="1">
      <c r="A2" s="117" t="s">
        <v>725</v>
      </c>
      <c r="B2" s="118" t="s">
        <v>726</v>
      </c>
      <c r="C2" s="117" t="s">
        <v>727</v>
      </c>
      <c r="D2" s="117" t="s">
        <v>728</v>
      </c>
      <c r="E2" s="118" t="s">
        <v>729</v>
      </c>
      <c r="F2" s="118" t="s">
        <v>730</v>
      </c>
      <c r="G2" s="117" t="s">
        <v>731</v>
      </c>
      <c r="H2" s="117" t="s">
        <v>732</v>
      </c>
      <c r="I2" s="118" t="s">
        <v>301</v>
      </c>
      <c r="J2" s="118" t="s">
        <v>28</v>
      </c>
      <c r="K2" s="119">
        <v>46143.0</v>
      </c>
      <c r="L2" s="119">
        <v>46149.0</v>
      </c>
      <c r="M2" s="120"/>
      <c r="N2" s="117" t="s">
        <v>733</v>
      </c>
      <c r="O2" s="121">
        <v>0.0</v>
      </c>
      <c r="P2" s="118" t="s">
        <v>181</v>
      </c>
      <c r="Q2" s="122" t="s">
        <v>734</v>
      </c>
      <c r="R2" s="122" t="s">
        <v>735</v>
      </c>
      <c r="S2" s="123">
        <v>46136.0</v>
      </c>
    </row>
    <row r="3" ht="22.5" customHeight="1">
      <c r="A3" s="117" t="s">
        <v>736</v>
      </c>
      <c r="B3" s="118" t="s">
        <v>726</v>
      </c>
      <c r="C3" s="117" t="s">
        <v>737</v>
      </c>
      <c r="D3" s="117" t="s">
        <v>738</v>
      </c>
      <c r="E3" s="118" t="s">
        <v>729</v>
      </c>
      <c r="F3" s="118" t="s">
        <v>730</v>
      </c>
      <c r="G3" s="124" t="s">
        <v>739</v>
      </c>
      <c r="H3" s="124" t="s">
        <v>740</v>
      </c>
      <c r="I3" s="118" t="s">
        <v>741</v>
      </c>
      <c r="J3" s="118" t="s">
        <v>28</v>
      </c>
      <c r="K3" s="119">
        <v>46152.0</v>
      </c>
      <c r="L3" s="119">
        <v>46157.0</v>
      </c>
      <c r="M3" s="117" t="s">
        <v>742</v>
      </c>
      <c r="N3" s="117" t="s">
        <v>743</v>
      </c>
      <c r="O3" s="121">
        <v>0.0</v>
      </c>
      <c r="P3" s="118" t="s">
        <v>309</v>
      </c>
      <c r="Q3" s="122" t="s">
        <v>744</v>
      </c>
      <c r="R3" s="122" t="s">
        <v>745</v>
      </c>
    </row>
    <row r="4" ht="22.5" customHeight="1">
      <c r="A4" s="117" t="s">
        <v>746</v>
      </c>
      <c r="B4" s="118" t="s">
        <v>726</v>
      </c>
      <c r="C4" s="117" t="s">
        <v>747</v>
      </c>
      <c r="D4" s="117" t="s">
        <v>748</v>
      </c>
      <c r="E4" s="118" t="s">
        <v>729</v>
      </c>
      <c r="F4" s="118" t="s">
        <v>730</v>
      </c>
      <c r="G4" s="124" t="s">
        <v>739</v>
      </c>
      <c r="H4" s="124" t="s">
        <v>732</v>
      </c>
      <c r="I4" s="118" t="s">
        <v>741</v>
      </c>
      <c r="J4" s="118" t="s">
        <v>28</v>
      </c>
      <c r="K4" s="119">
        <v>46149.0</v>
      </c>
      <c r="L4" s="119">
        <v>46152.0</v>
      </c>
      <c r="M4" s="117" t="s">
        <v>725</v>
      </c>
      <c r="N4" s="117" t="s">
        <v>749</v>
      </c>
      <c r="O4" s="121">
        <v>0.0</v>
      </c>
      <c r="P4" s="118" t="s">
        <v>309</v>
      </c>
      <c r="Q4" s="122" t="s">
        <v>750</v>
      </c>
      <c r="R4" s="122" t="s">
        <v>751</v>
      </c>
    </row>
    <row r="5" ht="22.5" customHeight="1">
      <c r="A5" s="117" t="s">
        <v>752</v>
      </c>
      <c r="B5" s="118" t="s">
        <v>726</v>
      </c>
      <c r="C5" s="117" t="s">
        <v>753</v>
      </c>
      <c r="D5" s="117" t="s">
        <v>754</v>
      </c>
      <c r="E5" s="118" t="s">
        <v>729</v>
      </c>
      <c r="F5" s="118" t="s">
        <v>730</v>
      </c>
      <c r="G5" s="124" t="s">
        <v>739</v>
      </c>
      <c r="H5" s="124" t="s">
        <v>755</v>
      </c>
      <c r="I5" s="118" t="s">
        <v>741</v>
      </c>
      <c r="J5" s="118" t="s">
        <v>28</v>
      </c>
      <c r="K5" s="119">
        <v>46149.0</v>
      </c>
      <c r="L5" s="119">
        <v>46152.0</v>
      </c>
      <c r="M5" s="117" t="s">
        <v>756</v>
      </c>
      <c r="N5" s="117" t="s">
        <v>757</v>
      </c>
      <c r="O5" s="121">
        <v>0.0</v>
      </c>
      <c r="P5" s="118" t="s">
        <v>309</v>
      </c>
      <c r="Q5" s="122" t="s">
        <v>758</v>
      </c>
      <c r="R5" s="125" t="s">
        <v>759</v>
      </c>
    </row>
    <row r="6" ht="22.5" customHeight="1">
      <c r="A6" s="117" t="s">
        <v>760</v>
      </c>
      <c r="B6" s="118" t="s">
        <v>726</v>
      </c>
      <c r="C6" s="117" t="s">
        <v>761</v>
      </c>
      <c r="D6" s="117" t="s">
        <v>762</v>
      </c>
      <c r="E6" s="118" t="s">
        <v>729</v>
      </c>
      <c r="F6" s="118" t="s">
        <v>730</v>
      </c>
      <c r="G6" s="124" t="s">
        <v>739</v>
      </c>
      <c r="H6" s="124" t="s">
        <v>763</v>
      </c>
      <c r="I6" s="118" t="s">
        <v>741</v>
      </c>
      <c r="J6" s="118" t="s">
        <v>57</v>
      </c>
      <c r="K6" s="119">
        <v>46204.0</v>
      </c>
      <c r="L6" s="119">
        <v>46244.0</v>
      </c>
      <c r="M6" s="117" t="s">
        <v>764</v>
      </c>
      <c r="N6" s="117" t="s">
        <v>765</v>
      </c>
      <c r="O6" s="121">
        <v>0.0</v>
      </c>
      <c r="P6" s="118" t="s">
        <v>309</v>
      </c>
      <c r="Q6" s="122" t="s">
        <v>766</v>
      </c>
      <c r="R6" s="122" t="s">
        <v>767</v>
      </c>
    </row>
    <row r="7" ht="22.5" customHeight="1">
      <c r="A7" s="117" t="s">
        <v>768</v>
      </c>
      <c r="B7" s="118" t="s">
        <v>726</v>
      </c>
      <c r="C7" s="117" t="s">
        <v>769</v>
      </c>
      <c r="D7" s="117" t="s">
        <v>770</v>
      </c>
      <c r="E7" s="118" t="s">
        <v>771</v>
      </c>
      <c r="F7" s="118" t="s">
        <v>772</v>
      </c>
      <c r="G7" s="124" t="s">
        <v>773</v>
      </c>
      <c r="H7" s="124" t="s">
        <v>774</v>
      </c>
      <c r="I7" s="118" t="s">
        <v>741</v>
      </c>
      <c r="J7" s="118" t="s">
        <v>57</v>
      </c>
      <c r="K7" s="119">
        <v>46174.0</v>
      </c>
      <c r="L7" s="119">
        <v>46188.0</v>
      </c>
      <c r="M7" s="117" t="s">
        <v>775</v>
      </c>
      <c r="N7" s="117" t="s">
        <v>776</v>
      </c>
      <c r="O7" s="121">
        <v>0.0</v>
      </c>
      <c r="P7" s="118" t="s">
        <v>181</v>
      </c>
      <c r="Q7" s="122" t="s">
        <v>777</v>
      </c>
      <c r="R7" s="122" t="s">
        <v>778</v>
      </c>
    </row>
    <row r="8" ht="22.5" customHeight="1">
      <c r="A8" s="117" t="s">
        <v>779</v>
      </c>
      <c r="B8" s="118" t="s">
        <v>726</v>
      </c>
      <c r="C8" s="117" t="s">
        <v>780</v>
      </c>
      <c r="D8" s="117" t="s">
        <v>781</v>
      </c>
      <c r="E8" s="118" t="s">
        <v>782</v>
      </c>
      <c r="F8" s="118" t="s">
        <v>772</v>
      </c>
      <c r="G8" s="124" t="s">
        <v>783</v>
      </c>
      <c r="H8" s="124" t="s">
        <v>784</v>
      </c>
      <c r="I8" s="118" t="s">
        <v>741</v>
      </c>
      <c r="J8" s="118" t="s">
        <v>57</v>
      </c>
      <c r="K8" s="119">
        <v>46174.0</v>
      </c>
      <c r="L8" s="119">
        <v>46188.0</v>
      </c>
      <c r="M8" s="117" t="s">
        <v>775</v>
      </c>
      <c r="N8" s="117" t="s">
        <v>785</v>
      </c>
      <c r="O8" s="121">
        <v>0.0</v>
      </c>
      <c r="P8" s="118" t="s">
        <v>181</v>
      </c>
      <c r="Q8" s="122" t="s">
        <v>786</v>
      </c>
      <c r="R8" s="122" t="s">
        <v>787</v>
      </c>
    </row>
    <row r="9" ht="22.5" customHeight="1">
      <c r="A9" s="117" t="s">
        <v>788</v>
      </c>
      <c r="B9" s="118" t="s">
        <v>726</v>
      </c>
      <c r="C9" s="117" t="s">
        <v>789</v>
      </c>
      <c r="D9" s="117" t="s">
        <v>790</v>
      </c>
      <c r="E9" s="118" t="s">
        <v>791</v>
      </c>
      <c r="F9" s="118" t="s">
        <v>772</v>
      </c>
      <c r="G9" s="124" t="s">
        <v>791</v>
      </c>
      <c r="H9" s="124" t="s">
        <v>792</v>
      </c>
      <c r="I9" s="118" t="s">
        <v>741</v>
      </c>
      <c r="J9" s="118" t="s">
        <v>57</v>
      </c>
      <c r="K9" s="119">
        <v>46174.0</v>
      </c>
      <c r="L9" s="119">
        <v>46188.0</v>
      </c>
      <c r="M9" s="117" t="s">
        <v>775</v>
      </c>
      <c r="N9" s="117" t="s">
        <v>793</v>
      </c>
      <c r="O9" s="121">
        <v>0.0</v>
      </c>
      <c r="P9" s="118" t="s">
        <v>181</v>
      </c>
      <c r="Q9" s="122" t="s">
        <v>794</v>
      </c>
      <c r="R9" s="122" t="s">
        <v>795</v>
      </c>
    </row>
    <row r="10" ht="22.5" customHeight="1">
      <c r="A10" s="117" t="s">
        <v>796</v>
      </c>
      <c r="B10" s="118" t="s">
        <v>797</v>
      </c>
      <c r="C10" s="117" t="s">
        <v>798</v>
      </c>
      <c r="D10" s="117" t="s">
        <v>799</v>
      </c>
      <c r="E10" s="118" t="s">
        <v>771</v>
      </c>
      <c r="F10" s="126"/>
      <c r="G10" s="124"/>
      <c r="H10" s="124"/>
      <c r="I10" s="118" t="s">
        <v>301</v>
      </c>
      <c r="J10" s="118" t="s">
        <v>28</v>
      </c>
      <c r="K10" s="119">
        <v>46117.0</v>
      </c>
      <c r="L10" s="119">
        <v>46137.0</v>
      </c>
      <c r="M10" s="120"/>
      <c r="N10" s="120"/>
      <c r="O10" s="121">
        <v>0.45</v>
      </c>
      <c r="P10" s="118" t="s">
        <v>181</v>
      </c>
      <c r="Q10" s="120"/>
      <c r="R10" s="120"/>
      <c r="S10" s="123">
        <v>46136.0</v>
      </c>
    </row>
    <row r="11" ht="22.5" customHeight="1">
      <c r="A11" s="117" t="s">
        <v>800</v>
      </c>
      <c r="B11" s="118" t="s">
        <v>797</v>
      </c>
      <c r="C11" s="117" t="s">
        <v>801</v>
      </c>
      <c r="D11" s="117" t="s">
        <v>802</v>
      </c>
      <c r="E11" s="118" t="s">
        <v>771</v>
      </c>
      <c r="F11" s="126"/>
      <c r="G11" s="124"/>
      <c r="H11" s="124"/>
      <c r="I11" s="118" t="s">
        <v>741</v>
      </c>
      <c r="J11" s="118" t="s">
        <v>57</v>
      </c>
      <c r="K11" s="119">
        <v>46138.0</v>
      </c>
      <c r="L11" s="119">
        <v>46162.0</v>
      </c>
      <c r="M11" s="117" t="s">
        <v>796</v>
      </c>
      <c r="N11" s="120"/>
      <c r="O11" s="121">
        <v>0.0</v>
      </c>
      <c r="P11" s="118" t="s">
        <v>309</v>
      </c>
      <c r="Q11" s="120"/>
      <c r="R11" s="120"/>
    </row>
    <row r="12" ht="22.5" customHeight="1">
      <c r="A12" s="117" t="s">
        <v>803</v>
      </c>
      <c r="B12" s="118" t="s">
        <v>797</v>
      </c>
      <c r="C12" s="117" t="s">
        <v>804</v>
      </c>
      <c r="D12" s="117" t="s">
        <v>805</v>
      </c>
      <c r="E12" s="118" t="s">
        <v>782</v>
      </c>
      <c r="F12" s="126"/>
      <c r="G12" s="124"/>
      <c r="H12" s="124"/>
      <c r="I12" s="118" t="s">
        <v>741</v>
      </c>
      <c r="J12" s="118" t="s">
        <v>28</v>
      </c>
      <c r="K12" s="119">
        <v>46152.0</v>
      </c>
      <c r="L12" s="119">
        <v>46174.0</v>
      </c>
      <c r="M12" s="117" t="s">
        <v>796</v>
      </c>
      <c r="N12" s="120"/>
      <c r="O12" s="121">
        <v>0.0</v>
      </c>
      <c r="P12" s="118" t="s">
        <v>309</v>
      </c>
      <c r="Q12" s="120"/>
      <c r="R12" s="120"/>
    </row>
    <row r="13" ht="22.5" customHeight="1">
      <c r="A13" s="117" t="s">
        <v>806</v>
      </c>
      <c r="B13" s="118" t="s">
        <v>797</v>
      </c>
      <c r="C13" s="117" t="s">
        <v>807</v>
      </c>
      <c r="D13" s="117" t="s">
        <v>808</v>
      </c>
      <c r="E13" s="118" t="s">
        <v>791</v>
      </c>
      <c r="F13" s="126"/>
      <c r="G13" s="124"/>
      <c r="H13" s="124"/>
      <c r="I13" s="118" t="s">
        <v>741</v>
      </c>
      <c r="J13" s="118" t="s">
        <v>28</v>
      </c>
      <c r="K13" s="119">
        <v>46208.0</v>
      </c>
      <c r="L13" s="119">
        <v>46254.0</v>
      </c>
      <c r="M13" s="117" t="s">
        <v>803</v>
      </c>
      <c r="N13" s="120"/>
      <c r="O13" s="121">
        <v>0.0</v>
      </c>
      <c r="P13" s="118" t="s">
        <v>181</v>
      </c>
      <c r="Q13" s="120"/>
      <c r="R13" s="120"/>
    </row>
    <row r="14" ht="22.5" customHeight="1">
      <c r="A14" s="117" t="s">
        <v>809</v>
      </c>
      <c r="B14" s="118" t="s">
        <v>810</v>
      </c>
      <c r="C14" s="117" t="s">
        <v>811</v>
      </c>
      <c r="D14" s="117" t="s">
        <v>812</v>
      </c>
      <c r="E14" s="118" t="s">
        <v>771</v>
      </c>
      <c r="F14" s="126"/>
      <c r="G14" s="124"/>
      <c r="H14" s="124"/>
      <c r="I14" s="118" t="s">
        <v>301</v>
      </c>
      <c r="J14" s="118" t="s">
        <v>28</v>
      </c>
      <c r="K14" s="119">
        <v>46122.0</v>
      </c>
      <c r="L14" s="119">
        <v>46142.0</v>
      </c>
      <c r="M14" s="120"/>
      <c r="N14" s="120"/>
      <c r="O14" s="121">
        <v>0.5</v>
      </c>
      <c r="P14" s="118" t="s">
        <v>181</v>
      </c>
      <c r="Q14" s="120"/>
      <c r="R14" s="120"/>
      <c r="S14" s="123">
        <v>46136.0</v>
      </c>
    </row>
    <row r="15" ht="22.5" customHeight="1">
      <c r="A15" s="117" t="s">
        <v>813</v>
      </c>
      <c r="B15" s="118" t="s">
        <v>810</v>
      </c>
      <c r="C15" s="117" t="s">
        <v>814</v>
      </c>
      <c r="D15" s="117" t="s">
        <v>815</v>
      </c>
      <c r="E15" s="118" t="s">
        <v>771</v>
      </c>
      <c r="F15" s="126"/>
      <c r="G15" s="124"/>
      <c r="H15" s="124"/>
      <c r="I15" s="118" t="s">
        <v>741</v>
      </c>
      <c r="J15" s="118" t="s">
        <v>57</v>
      </c>
      <c r="K15" s="119">
        <v>46143.0</v>
      </c>
      <c r="L15" s="119">
        <v>46162.0</v>
      </c>
      <c r="M15" s="117" t="s">
        <v>809</v>
      </c>
      <c r="N15" s="120"/>
      <c r="O15" s="121">
        <v>0.0</v>
      </c>
      <c r="P15" s="118" t="s">
        <v>309</v>
      </c>
      <c r="Q15" s="120"/>
      <c r="R15" s="120"/>
    </row>
    <row r="16" ht="22.5" customHeight="1">
      <c r="A16" s="117" t="s">
        <v>816</v>
      </c>
      <c r="B16" s="118" t="s">
        <v>810</v>
      </c>
      <c r="C16" s="117" t="s">
        <v>817</v>
      </c>
      <c r="D16" s="117" t="s">
        <v>818</v>
      </c>
      <c r="E16" s="118" t="s">
        <v>782</v>
      </c>
      <c r="F16" s="126"/>
      <c r="G16" s="124"/>
      <c r="H16" s="124"/>
      <c r="I16" s="118" t="s">
        <v>741</v>
      </c>
      <c r="J16" s="118" t="s">
        <v>28</v>
      </c>
      <c r="K16" s="119">
        <v>46157.0</v>
      </c>
      <c r="L16" s="119">
        <v>46183.0</v>
      </c>
      <c r="M16" s="117" t="s">
        <v>809</v>
      </c>
      <c r="N16" s="120"/>
      <c r="O16" s="121">
        <v>0.0</v>
      </c>
      <c r="P16" s="118" t="s">
        <v>309</v>
      </c>
      <c r="Q16" s="120"/>
      <c r="R16" s="120"/>
    </row>
    <row r="17" ht="22.5" customHeight="1">
      <c r="A17" s="117" t="s">
        <v>819</v>
      </c>
      <c r="B17" s="118" t="s">
        <v>810</v>
      </c>
      <c r="C17" s="117" t="s">
        <v>820</v>
      </c>
      <c r="D17" s="117" t="s">
        <v>821</v>
      </c>
      <c r="E17" s="118" t="s">
        <v>791</v>
      </c>
      <c r="F17" s="126"/>
      <c r="G17" s="124"/>
      <c r="H17" s="124"/>
      <c r="I17" s="118" t="s">
        <v>741</v>
      </c>
      <c r="J17" s="118" t="s">
        <v>28</v>
      </c>
      <c r="K17" s="119">
        <v>46213.0</v>
      </c>
      <c r="L17" s="119">
        <v>46266.0</v>
      </c>
      <c r="M17" s="117" t="s">
        <v>816</v>
      </c>
      <c r="N17" s="117" t="s">
        <v>822</v>
      </c>
      <c r="O17" s="121">
        <v>0.0</v>
      </c>
      <c r="P17" s="118" t="s">
        <v>181</v>
      </c>
      <c r="Q17" s="120"/>
      <c r="R17" s="120"/>
    </row>
    <row r="18" ht="22.5" customHeight="1">
      <c r="A18" s="117" t="s">
        <v>823</v>
      </c>
      <c r="B18" s="118" t="s">
        <v>824</v>
      </c>
      <c r="C18" s="117" t="s">
        <v>825</v>
      </c>
      <c r="D18" s="117" t="s">
        <v>826</v>
      </c>
      <c r="E18" s="118" t="s">
        <v>771</v>
      </c>
      <c r="F18" s="126"/>
      <c r="G18" s="124"/>
      <c r="H18" s="124"/>
      <c r="I18" s="118" t="s">
        <v>301</v>
      </c>
      <c r="J18" s="118" t="s">
        <v>28</v>
      </c>
      <c r="K18" s="119">
        <v>46124.0</v>
      </c>
      <c r="L18" s="119">
        <v>46142.0</v>
      </c>
      <c r="M18" s="120"/>
      <c r="N18" s="120"/>
      <c r="O18" s="121">
        <v>0.35</v>
      </c>
      <c r="P18" s="118" t="s">
        <v>181</v>
      </c>
      <c r="Q18" s="120"/>
      <c r="R18" s="120"/>
      <c r="S18" s="123">
        <v>46136.0</v>
      </c>
    </row>
    <row r="19" ht="22.5" customHeight="1">
      <c r="A19" s="117" t="s">
        <v>827</v>
      </c>
      <c r="B19" s="118" t="s">
        <v>824</v>
      </c>
      <c r="C19" s="117" t="s">
        <v>828</v>
      </c>
      <c r="D19" s="117" t="s">
        <v>829</v>
      </c>
      <c r="E19" s="118" t="s">
        <v>771</v>
      </c>
      <c r="F19" s="126"/>
      <c r="G19" s="124"/>
      <c r="H19" s="124"/>
      <c r="I19" s="118" t="s">
        <v>741</v>
      </c>
      <c r="J19" s="118" t="s">
        <v>57</v>
      </c>
      <c r="K19" s="119">
        <v>46143.0</v>
      </c>
      <c r="L19" s="119">
        <v>46162.0</v>
      </c>
      <c r="M19" s="117" t="s">
        <v>823</v>
      </c>
      <c r="N19" s="120"/>
      <c r="O19" s="121">
        <v>0.0</v>
      </c>
      <c r="P19" s="118" t="s">
        <v>309</v>
      </c>
      <c r="Q19" s="120"/>
      <c r="R19" s="120"/>
    </row>
    <row r="20" ht="22.5" customHeight="1">
      <c r="A20" s="117" t="s">
        <v>830</v>
      </c>
      <c r="B20" s="118" t="s">
        <v>824</v>
      </c>
      <c r="C20" s="117" t="s">
        <v>831</v>
      </c>
      <c r="D20" s="117" t="s">
        <v>832</v>
      </c>
      <c r="E20" s="118" t="s">
        <v>782</v>
      </c>
      <c r="F20" s="126"/>
      <c r="G20" s="124"/>
      <c r="H20" s="124"/>
      <c r="I20" s="118" t="s">
        <v>741</v>
      </c>
      <c r="J20" s="118" t="s">
        <v>28</v>
      </c>
      <c r="K20" s="119">
        <v>46157.0</v>
      </c>
      <c r="L20" s="119">
        <v>46183.0</v>
      </c>
      <c r="M20" s="117" t="s">
        <v>823</v>
      </c>
      <c r="N20" s="120"/>
      <c r="O20" s="121">
        <v>0.0</v>
      </c>
      <c r="P20" s="118" t="s">
        <v>309</v>
      </c>
      <c r="Q20" s="120"/>
      <c r="R20" s="120"/>
    </row>
    <row r="21" ht="22.5" customHeight="1">
      <c r="A21" s="117" t="s">
        <v>833</v>
      </c>
      <c r="B21" s="118" t="s">
        <v>824</v>
      </c>
      <c r="C21" s="117" t="s">
        <v>834</v>
      </c>
      <c r="D21" s="117" t="s">
        <v>835</v>
      </c>
      <c r="E21" s="118" t="s">
        <v>791</v>
      </c>
      <c r="F21" s="126"/>
      <c r="G21" s="124"/>
      <c r="H21" s="124"/>
      <c r="I21" s="118" t="s">
        <v>741</v>
      </c>
      <c r="J21" s="118" t="s">
        <v>28</v>
      </c>
      <c r="K21" s="119">
        <v>46213.0</v>
      </c>
      <c r="L21" s="119">
        <v>46266.0</v>
      </c>
      <c r="M21" s="117" t="s">
        <v>830</v>
      </c>
      <c r="N21" s="120"/>
      <c r="O21" s="121">
        <v>0.0</v>
      </c>
      <c r="P21" s="118" t="s">
        <v>181</v>
      </c>
      <c r="Q21" s="120"/>
      <c r="R21" s="120"/>
    </row>
    <row r="22" ht="22.5" customHeight="1">
      <c r="A22" s="117" t="s">
        <v>836</v>
      </c>
      <c r="B22" s="118" t="s">
        <v>837</v>
      </c>
      <c r="C22" s="117" t="s">
        <v>838</v>
      </c>
      <c r="D22" s="117" t="s">
        <v>839</v>
      </c>
      <c r="E22" s="118" t="s">
        <v>771</v>
      </c>
      <c r="F22" s="126"/>
      <c r="G22" s="124"/>
      <c r="H22" s="124"/>
      <c r="I22" s="118" t="s">
        <v>301</v>
      </c>
      <c r="J22" s="118" t="s">
        <v>28</v>
      </c>
      <c r="K22" s="119">
        <v>46113.0</v>
      </c>
      <c r="L22" s="119">
        <v>46132.0</v>
      </c>
      <c r="M22" s="120"/>
      <c r="N22" s="120"/>
      <c r="O22" s="121">
        <v>0.5</v>
      </c>
      <c r="P22" s="118" t="s">
        <v>181</v>
      </c>
      <c r="Q22" s="120"/>
      <c r="R22" s="120"/>
      <c r="S22" s="123">
        <v>46136.0</v>
      </c>
    </row>
    <row r="23" ht="22.5" customHeight="1">
      <c r="A23" s="117" t="s">
        <v>840</v>
      </c>
      <c r="B23" s="118" t="s">
        <v>837</v>
      </c>
      <c r="C23" s="117" t="s">
        <v>841</v>
      </c>
      <c r="D23" s="117" t="s">
        <v>842</v>
      </c>
      <c r="E23" s="118" t="s">
        <v>771</v>
      </c>
      <c r="F23" s="126"/>
      <c r="G23" s="124"/>
      <c r="H23" s="124"/>
      <c r="I23" s="118" t="s">
        <v>741</v>
      </c>
      <c r="J23" s="118" t="s">
        <v>28</v>
      </c>
      <c r="K23" s="119">
        <v>46133.0</v>
      </c>
      <c r="L23" s="119">
        <v>46157.0</v>
      </c>
      <c r="M23" s="117" t="s">
        <v>836</v>
      </c>
      <c r="N23" s="120"/>
      <c r="O23" s="121">
        <v>0.0</v>
      </c>
      <c r="P23" s="118" t="s">
        <v>309</v>
      </c>
      <c r="Q23" s="120"/>
      <c r="R23" s="120"/>
    </row>
    <row r="24" ht="22.5" customHeight="1">
      <c r="A24" s="117" t="s">
        <v>843</v>
      </c>
      <c r="B24" s="118" t="s">
        <v>837</v>
      </c>
      <c r="C24" s="117" t="s">
        <v>844</v>
      </c>
      <c r="D24" s="117" t="s">
        <v>845</v>
      </c>
      <c r="E24" s="118" t="s">
        <v>782</v>
      </c>
      <c r="F24" s="126"/>
      <c r="G24" s="124"/>
      <c r="H24" s="124"/>
      <c r="I24" s="118" t="s">
        <v>741</v>
      </c>
      <c r="J24" s="118" t="s">
        <v>57</v>
      </c>
      <c r="K24" s="119">
        <v>46152.0</v>
      </c>
      <c r="L24" s="119">
        <v>46174.0</v>
      </c>
      <c r="M24" s="117" t="s">
        <v>840</v>
      </c>
      <c r="N24" s="120"/>
      <c r="O24" s="121">
        <v>0.0</v>
      </c>
      <c r="P24" s="118" t="s">
        <v>309</v>
      </c>
      <c r="Q24" s="120"/>
      <c r="R24" s="120"/>
    </row>
    <row r="25" ht="22.5" customHeight="1">
      <c r="A25" s="117" t="s">
        <v>846</v>
      </c>
      <c r="B25" s="118" t="s">
        <v>837</v>
      </c>
      <c r="C25" s="117" t="s">
        <v>847</v>
      </c>
      <c r="D25" s="117" t="s">
        <v>848</v>
      </c>
      <c r="E25" s="118" t="s">
        <v>791</v>
      </c>
      <c r="F25" s="126"/>
      <c r="G25" s="124"/>
      <c r="H25" s="124"/>
      <c r="I25" s="118" t="s">
        <v>741</v>
      </c>
      <c r="J25" s="118" t="s">
        <v>28</v>
      </c>
      <c r="K25" s="119">
        <v>46204.0</v>
      </c>
      <c r="L25" s="119">
        <v>46266.0</v>
      </c>
      <c r="M25" s="117" t="s">
        <v>843</v>
      </c>
      <c r="N25" s="117" t="s">
        <v>849</v>
      </c>
      <c r="O25" s="121">
        <v>0.0</v>
      </c>
      <c r="P25" s="118" t="s">
        <v>181</v>
      </c>
      <c r="Q25" s="120"/>
      <c r="R25" s="120"/>
    </row>
    <row r="26" ht="22.5" customHeight="1">
      <c r="A26" s="117" t="s">
        <v>850</v>
      </c>
      <c r="B26" s="118" t="s">
        <v>851</v>
      </c>
      <c r="C26" s="117" t="s">
        <v>852</v>
      </c>
      <c r="D26" s="117" t="s">
        <v>853</v>
      </c>
      <c r="E26" s="118" t="s">
        <v>771</v>
      </c>
      <c r="F26" s="126"/>
      <c r="G26" s="124"/>
      <c r="H26" s="124"/>
      <c r="I26" s="118" t="s">
        <v>301</v>
      </c>
      <c r="J26" s="118" t="s">
        <v>28</v>
      </c>
      <c r="K26" s="119">
        <v>46117.0</v>
      </c>
      <c r="L26" s="119">
        <v>46137.0</v>
      </c>
      <c r="M26" s="120"/>
      <c r="N26" s="120"/>
      <c r="O26" s="121">
        <v>0.4</v>
      </c>
      <c r="P26" s="118" t="s">
        <v>181</v>
      </c>
      <c r="Q26" s="120"/>
      <c r="R26" s="120"/>
      <c r="S26" s="123">
        <v>46136.0</v>
      </c>
    </row>
    <row r="27" ht="22.5" customHeight="1">
      <c r="A27" s="117" t="s">
        <v>854</v>
      </c>
      <c r="B27" s="118" t="s">
        <v>851</v>
      </c>
      <c r="C27" s="117" t="s">
        <v>855</v>
      </c>
      <c r="D27" s="117" t="s">
        <v>856</v>
      </c>
      <c r="E27" s="118" t="s">
        <v>771</v>
      </c>
      <c r="F27" s="126"/>
      <c r="G27" s="124"/>
      <c r="H27" s="124"/>
      <c r="I27" s="118" t="s">
        <v>741</v>
      </c>
      <c r="J27" s="118" t="s">
        <v>57</v>
      </c>
      <c r="K27" s="119">
        <v>46138.0</v>
      </c>
      <c r="L27" s="119">
        <v>46162.0</v>
      </c>
      <c r="M27" s="117" t="s">
        <v>850</v>
      </c>
      <c r="N27" s="120"/>
      <c r="O27" s="121">
        <v>0.0</v>
      </c>
      <c r="P27" s="118" t="s">
        <v>309</v>
      </c>
      <c r="Q27" s="120"/>
      <c r="R27" s="120"/>
    </row>
    <row r="28" ht="22.5" customHeight="1">
      <c r="A28" s="117" t="s">
        <v>857</v>
      </c>
      <c r="B28" s="118" t="s">
        <v>851</v>
      </c>
      <c r="C28" s="117" t="s">
        <v>858</v>
      </c>
      <c r="D28" s="117" t="s">
        <v>859</v>
      </c>
      <c r="E28" s="118" t="s">
        <v>782</v>
      </c>
      <c r="F28" s="126"/>
      <c r="G28" s="124"/>
      <c r="H28" s="124"/>
      <c r="I28" s="118" t="s">
        <v>741</v>
      </c>
      <c r="J28" s="118" t="s">
        <v>57</v>
      </c>
      <c r="K28" s="119">
        <v>46157.0</v>
      </c>
      <c r="L28" s="119">
        <v>46178.0</v>
      </c>
      <c r="M28" s="117" t="s">
        <v>850</v>
      </c>
      <c r="N28" s="120"/>
      <c r="O28" s="121">
        <v>0.0</v>
      </c>
      <c r="P28" s="118" t="s">
        <v>309</v>
      </c>
      <c r="Q28" s="120"/>
      <c r="R28" s="120"/>
    </row>
    <row r="29" ht="22.5" customHeight="1">
      <c r="A29" s="117" t="s">
        <v>860</v>
      </c>
      <c r="B29" s="118" t="s">
        <v>851</v>
      </c>
      <c r="C29" s="117" t="s">
        <v>861</v>
      </c>
      <c r="D29" s="117" t="s">
        <v>862</v>
      </c>
      <c r="E29" s="118" t="s">
        <v>791</v>
      </c>
      <c r="F29" s="126"/>
      <c r="G29" s="124"/>
      <c r="H29" s="124"/>
      <c r="I29" s="118" t="s">
        <v>741</v>
      </c>
      <c r="J29" s="118" t="s">
        <v>28</v>
      </c>
      <c r="K29" s="119">
        <v>46213.0</v>
      </c>
      <c r="L29" s="119">
        <v>46266.0</v>
      </c>
      <c r="M29" s="117" t="s">
        <v>857</v>
      </c>
      <c r="N29" s="120"/>
      <c r="O29" s="121">
        <v>0.0</v>
      </c>
      <c r="P29" s="118" t="s">
        <v>181</v>
      </c>
      <c r="Q29" s="120"/>
      <c r="R29" s="120"/>
    </row>
    <row r="30" ht="22.5" customHeight="1">
      <c r="A30" s="117" t="s">
        <v>863</v>
      </c>
      <c r="B30" s="118" t="s">
        <v>864</v>
      </c>
      <c r="C30" s="117" t="s">
        <v>865</v>
      </c>
      <c r="D30" s="117" t="s">
        <v>866</v>
      </c>
      <c r="E30" s="118" t="s">
        <v>771</v>
      </c>
      <c r="F30" s="126"/>
      <c r="G30" s="124"/>
      <c r="H30" s="124"/>
      <c r="I30" s="118" t="s">
        <v>741</v>
      </c>
      <c r="J30" s="118" t="s">
        <v>28</v>
      </c>
      <c r="K30" s="119">
        <v>46143.0</v>
      </c>
      <c r="L30" s="119">
        <v>46162.0</v>
      </c>
      <c r="M30" s="120"/>
      <c r="N30" s="117" t="s">
        <v>867</v>
      </c>
      <c r="O30" s="121">
        <v>0.0</v>
      </c>
      <c r="P30" s="118" t="s">
        <v>181</v>
      </c>
      <c r="Q30" s="120"/>
      <c r="R30" s="120"/>
    </row>
    <row r="31" ht="22.5" customHeight="1">
      <c r="A31" s="117" t="s">
        <v>868</v>
      </c>
      <c r="B31" s="118" t="s">
        <v>864</v>
      </c>
      <c r="C31" s="117" t="s">
        <v>869</v>
      </c>
      <c r="D31" s="117" t="s">
        <v>870</v>
      </c>
      <c r="E31" s="118" t="s">
        <v>771</v>
      </c>
      <c r="F31" s="126"/>
      <c r="G31" s="124"/>
      <c r="H31" s="124"/>
      <c r="I31" s="118" t="s">
        <v>741</v>
      </c>
      <c r="J31" s="118" t="s">
        <v>57</v>
      </c>
      <c r="K31" s="119">
        <v>46162.0</v>
      </c>
      <c r="L31" s="119">
        <v>46183.0</v>
      </c>
      <c r="M31" s="117" t="s">
        <v>863</v>
      </c>
      <c r="N31" s="120"/>
      <c r="O31" s="121">
        <v>0.0</v>
      </c>
      <c r="P31" s="118" t="s">
        <v>309</v>
      </c>
      <c r="Q31" s="120"/>
      <c r="R31" s="120"/>
    </row>
    <row r="32" ht="22.5" customHeight="1">
      <c r="A32" s="117" t="s">
        <v>871</v>
      </c>
      <c r="B32" s="118" t="s">
        <v>864</v>
      </c>
      <c r="C32" s="117" t="s">
        <v>872</v>
      </c>
      <c r="D32" s="117" t="s">
        <v>873</v>
      </c>
      <c r="E32" s="118" t="s">
        <v>782</v>
      </c>
      <c r="F32" s="126"/>
      <c r="G32" s="124"/>
      <c r="H32" s="124"/>
      <c r="I32" s="118" t="s">
        <v>741</v>
      </c>
      <c r="J32" s="118" t="s">
        <v>57</v>
      </c>
      <c r="K32" s="119">
        <v>46174.0</v>
      </c>
      <c r="L32" s="119">
        <v>46193.0</v>
      </c>
      <c r="M32" s="117" t="s">
        <v>868</v>
      </c>
      <c r="N32" s="120"/>
      <c r="O32" s="121">
        <v>0.0</v>
      </c>
      <c r="P32" s="118" t="s">
        <v>309</v>
      </c>
      <c r="Q32" s="120"/>
      <c r="R32" s="120"/>
    </row>
    <row r="33" ht="22.5" customHeight="1">
      <c r="A33" s="117" t="s">
        <v>874</v>
      </c>
      <c r="B33" s="118" t="s">
        <v>864</v>
      </c>
      <c r="C33" s="117" t="s">
        <v>875</v>
      </c>
      <c r="D33" s="117" t="s">
        <v>876</v>
      </c>
      <c r="E33" s="118" t="s">
        <v>791</v>
      </c>
      <c r="F33" s="126"/>
      <c r="G33" s="124"/>
      <c r="H33" s="124"/>
      <c r="I33" s="118" t="s">
        <v>741</v>
      </c>
      <c r="J33" s="118" t="s">
        <v>28</v>
      </c>
      <c r="K33" s="119">
        <v>46218.0</v>
      </c>
      <c r="L33" s="119">
        <v>46275.0</v>
      </c>
      <c r="M33" s="117" t="s">
        <v>871</v>
      </c>
      <c r="N33" s="120"/>
      <c r="O33" s="121">
        <v>0.0</v>
      </c>
      <c r="P33" s="118" t="s">
        <v>181</v>
      </c>
      <c r="Q33" s="120"/>
      <c r="R33" s="120"/>
    </row>
    <row r="34" ht="22.5" customHeight="1">
      <c r="A34" s="117" t="s">
        <v>877</v>
      </c>
      <c r="B34" s="118" t="s">
        <v>878</v>
      </c>
      <c r="C34" s="117" t="s">
        <v>879</v>
      </c>
      <c r="D34" s="117" t="s">
        <v>880</v>
      </c>
      <c r="E34" s="118" t="s">
        <v>771</v>
      </c>
      <c r="F34" s="126"/>
      <c r="G34" s="124"/>
      <c r="H34" s="124"/>
      <c r="I34" s="118" t="s">
        <v>301</v>
      </c>
      <c r="J34" s="118" t="s">
        <v>28</v>
      </c>
      <c r="K34" s="119">
        <v>46122.0</v>
      </c>
      <c r="L34" s="119">
        <v>46142.0</v>
      </c>
      <c r="M34" s="120"/>
      <c r="N34" s="120"/>
      <c r="O34" s="121">
        <v>0.35</v>
      </c>
      <c r="P34" s="118" t="s">
        <v>181</v>
      </c>
      <c r="Q34" s="120"/>
      <c r="R34" s="120"/>
      <c r="S34" s="123">
        <v>46136.0</v>
      </c>
    </row>
    <row r="35" ht="22.5" customHeight="1">
      <c r="A35" s="117" t="s">
        <v>881</v>
      </c>
      <c r="B35" s="118" t="s">
        <v>878</v>
      </c>
      <c r="C35" s="117" t="s">
        <v>882</v>
      </c>
      <c r="D35" s="117" t="s">
        <v>883</v>
      </c>
      <c r="E35" s="118" t="s">
        <v>771</v>
      </c>
      <c r="F35" s="126"/>
      <c r="G35" s="124"/>
      <c r="H35" s="124"/>
      <c r="I35" s="118" t="s">
        <v>741</v>
      </c>
      <c r="J35" s="118" t="s">
        <v>28</v>
      </c>
      <c r="K35" s="119">
        <v>46143.0</v>
      </c>
      <c r="L35" s="119">
        <v>46167.0</v>
      </c>
      <c r="M35" s="117" t="s">
        <v>877</v>
      </c>
      <c r="N35" s="120"/>
      <c r="O35" s="121">
        <v>0.0</v>
      </c>
      <c r="P35" s="118" t="s">
        <v>309</v>
      </c>
      <c r="Q35" s="120"/>
      <c r="R35" s="120"/>
    </row>
    <row r="36" ht="22.5" customHeight="1">
      <c r="A36" s="117" t="s">
        <v>884</v>
      </c>
      <c r="B36" s="118" t="s">
        <v>878</v>
      </c>
      <c r="C36" s="117" t="s">
        <v>885</v>
      </c>
      <c r="D36" s="117" t="s">
        <v>886</v>
      </c>
      <c r="E36" s="118" t="s">
        <v>782</v>
      </c>
      <c r="F36" s="126"/>
      <c r="G36" s="124"/>
      <c r="H36" s="124"/>
      <c r="I36" s="118" t="s">
        <v>741</v>
      </c>
      <c r="J36" s="118" t="s">
        <v>57</v>
      </c>
      <c r="K36" s="119">
        <v>46162.0</v>
      </c>
      <c r="L36" s="119">
        <v>46183.0</v>
      </c>
      <c r="M36" s="117" t="s">
        <v>881</v>
      </c>
      <c r="N36" s="120"/>
      <c r="O36" s="121">
        <v>0.0</v>
      </c>
      <c r="P36" s="118" t="s">
        <v>309</v>
      </c>
      <c r="Q36" s="120"/>
      <c r="R36" s="120"/>
    </row>
    <row r="37" ht="22.5" customHeight="1">
      <c r="A37" s="117" t="s">
        <v>887</v>
      </c>
      <c r="B37" s="118" t="s">
        <v>878</v>
      </c>
      <c r="C37" s="117" t="s">
        <v>888</v>
      </c>
      <c r="D37" s="117" t="s">
        <v>889</v>
      </c>
      <c r="E37" s="118" t="s">
        <v>791</v>
      </c>
      <c r="F37" s="126"/>
      <c r="G37" s="124"/>
      <c r="H37" s="124"/>
      <c r="I37" s="118" t="s">
        <v>741</v>
      </c>
      <c r="J37" s="118" t="s">
        <v>28</v>
      </c>
      <c r="K37" s="119">
        <v>46218.0</v>
      </c>
      <c r="L37" s="119">
        <v>46275.0</v>
      </c>
      <c r="M37" s="117" t="s">
        <v>884</v>
      </c>
      <c r="N37" s="120"/>
      <c r="O37" s="121">
        <v>0.0</v>
      </c>
      <c r="P37" s="118" t="s">
        <v>181</v>
      </c>
      <c r="Q37" s="120"/>
      <c r="R37" s="120"/>
    </row>
    <row r="38" ht="22.5" customHeight="1">
      <c r="A38" s="117" t="s">
        <v>890</v>
      </c>
      <c r="B38" s="118" t="s">
        <v>891</v>
      </c>
      <c r="C38" s="117" t="s">
        <v>892</v>
      </c>
      <c r="D38" s="117" t="s">
        <v>893</v>
      </c>
      <c r="E38" s="118" t="s">
        <v>771</v>
      </c>
      <c r="F38" s="126"/>
      <c r="G38" s="124"/>
      <c r="H38" s="124"/>
      <c r="I38" s="118" t="s">
        <v>741</v>
      </c>
      <c r="J38" s="118" t="s">
        <v>28</v>
      </c>
      <c r="K38" s="119">
        <v>46143.0</v>
      </c>
      <c r="L38" s="119">
        <v>46162.0</v>
      </c>
      <c r="M38" s="120"/>
      <c r="N38" s="120"/>
      <c r="O38" s="121">
        <v>0.0</v>
      </c>
      <c r="P38" s="118" t="s">
        <v>181</v>
      </c>
      <c r="Q38" s="120"/>
      <c r="R38" s="120"/>
    </row>
    <row r="39" ht="22.5" customHeight="1">
      <c r="A39" s="117" t="s">
        <v>894</v>
      </c>
      <c r="B39" s="118" t="s">
        <v>891</v>
      </c>
      <c r="C39" s="117" t="s">
        <v>895</v>
      </c>
      <c r="D39" s="117" t="s">
        <v>896</v>
      </c>
      <c r="E39" s="118" t="s">
        <v>771</v>
      </c>
      <c r="F39" s="126"/>
      <c r="G39" s="124"/>
      <c r="H39" s="124"/>
      <c r="I39" s="118" t="s">
        <v>741</v>
      </c>
      <c r="J39" s="118" t="s">
        <v>57</v>
      </c>
      <c r="K39" s="119">
        <v>46162.0</v>
      </c>
      <c r="L39" s="119">
        <v>46183.0</v>
      </c>
      <c r="M39" s="117" t="s">
        <v>890</v>
      </c>
      <c r="N39" s="120"/>
      <c r="O39" s="121">
        <v>0.0</v>
      </c>
      <c r="P39" s="118" t="s">
        <v>309</v>
      </c>
      <c r="Q39" s="120"/>
      <c r="R39" s="120"/>
    </row>
    <row r="40" ht="22.5" customHeight="1">
      <c r="A40" s="117" t="s">
        <v>897</v>
      </c>
      <c r="B40" s="118" t="s">
        <v>891</v>
      </c>
      <c r="C40" s="117" t="s">
        <v>898</v>
      </c>
      <c r="D40" s="117" t="s">
        <v>899</v>
      </c>
      <c r="E40" s="118" t="s">
        <v>782</v>
      </c>
      <c r="F40" s="126"/>
      <c r="G40" s="124"/>
      <c r="H40" s="124"/>
      <c r="I40" s="118" t="s">
        <v>741</v>
      </c>
      <c r="J40" s="118" t="s">
        <v>57</v>
      </c>
      <c r="K40" s="119">
        <v>46174.0</v>
      </c>
      <c r="L40" s="119">
        <v>46193.0</v>
      </c>
      <c r="M40" s="117" t="s">
        <v>894</v>
      </c>
      <c r="N40" s="120"/>
      <c r="O40" s="121">
        <v>0.0</v>
      </c>
      <c r="P40" s="118" t="s">
        <v>309</v>
      </c>
      <c r="Q40" s="120"/>
      <c r="R40" s="120"/>
    </row>
    <row r="41" ht="22.5" customHeight="1">
      <c r="A41" s="117" t="s">
        <v>900</v>
      </c>
      <c r="B41" s="118" t="s">
        <v>891</v>
      </c>
      <c r="C41" s="117" t="s">
        <v>901</v>
      </c>
      <c r="D41" s="117" t="s">
        <v>902</v>
      </c>
      <c r="E41" s="118" t="s">
        <v>791</v>
      </c>
      <c r="F41" s="126"/>
      <c r="G41" s="124"/>
      <c r="H41" s="124"/>
      <c r="I41" s="118" t="s">
        <v>741</v>
      </c>
      <c r="J41" s="118" t="s">
        <v>28</v>
      </c>
      <c r="K41" s="119">
        <v>46223.0</v>
      </c>
      <c r="L41" s="119">
        <v>46280.0</v>
      </c>
      <c r="M41" s="117" t="s">
        <v>897</v>
      </c>
      <c r="N41" s="120"/>
      <c r="O41" s="121">
        <v>0.0</v>
      </c>
      <c r="P41" s="118" t="s">
        <v>181</v>
      </c>
      <c r="Q41" s="120"/>
      <c r="R41" s="120"/>
    </row>
    <row r="42" ht="22.5" customHeight="1">
      <c r="A42" s="117" t="s">
        <v>903</v>
      </c>
      <c r="B42" s="118" t="s">
        <v>904</v>
      </c>
      <c r="C42" s="117" t="s">
        <v>905</v>
      </c>
      <c r="D42" s="117" t="s">
        <v>906</v>
      </c>
      <c r="E42" s="118" t="s">
        <v>771</v>
      </c>
      <c r="F42" s="126"/>
      <c r="G42" s="124"/>
      <c r="H42" s="124"/>
      <c r="I42" s="118" t="s">
        <v>741</v>
      </c>
      <c r="J42" s="118" t="s">
        <v>28</v>
      </c>
      <c r="K42" s="119">
        <v>46143.0</v>
      </c>
      <c r="L42" s="119">
        <v>46167.0</v>
      </c>
      <c r="M42" s="120"/>
      <c r="N42" s="120"/>
      <c r="O42" s="121">
        <v>0.0</v>
      </c>
      <c r="P42" s="118" t="s">
        <v>181</v>
      </c>
      <c r="Q42" s="120"/>
      <c r="R42" s="120"/>
    </row>
    <row r="43" ht="22.5" customHeight="1">
      <c r="A43" s="117" t="s">
        <v>907</v>
      </c>
      <c r="B43" s="118" t="s">
        <v>904</v>
      </c>
      <c r="C43" s="117" t="s">
        <v>908</v>
      </c>
      <c r="D43" s="117" t="s">
        <v>909</v>
      </c>
      <c r="E43" s="118" t="s">
        <v>771</v>
      </c>
      <c r="F43" s="126"/>
      <c r="G43" s="124"/>
      <c r="H43" s="124"/>
      <c r="I43" s="118" t="s">
        <v>741</v>
      </c>
      <c r="J43" s="118" t="s">
        <v>57</v>
      </c>
      <c r="K43" s="119">
        <v>46167.0</v>
      </c>
      <c r="L43" s="119">
        <v>46193.0</v>
      </c>
      <c r="M43" s="117" t="s">
        <v>903</v>
      </c>
      <c r="N43" s="120"/>
      <c r="O43" s="121">
        <v>0.0</v>
      </c>
      <c r="P43" s="118" t="s">
        <v>309</v>
      </c>
      <c r="Q43" s="120"/>
      <c r="R43" s="120"/>
    </row>
    <row r="44" ht="22.5" customHeight="1">
      <c r="A44" s="117" t="s">
        <v>910</v>
      </c>
      <c r="B44" s="118" t="s">
        <v>904</v>
      </c>
      <c r="C44" s="117" t="s">
        <v>911</v>
      </c>
      <c r="D44" s="117" t="s">
        <v>912</v>
      </c>
      <c r="E44" s="118" t="s">
        <v>782</v>
      </c>
      <c r="F44" s="126"/>
      <c r="G44" s="124"/>
      <c r="H44" s="124"/>
      <c r="I44" s="118" t="s">
        <v>741</v>
      </c>
      <c r="J44" s="118" t="s">
        <v>57</v>
      </c>
      <c r="K44" s="119">
        <v>46183.0</v>
      </c>
      <c r="L44" s="119">
        <v>46203.0</v>
      </c>
      <c r="M44" s="117" t="s">
        <v>907</v>
      </c>
      <c r="N44" s="120"/>
      <c r="O44" s="121">
        <v>0.0</v>
      </c>
      <c r="P44" s="118" t="s">
        <v>309</v>
      </c>
      <c r="Q44" s="120"/>
      <c r="R44" s="120"/>
    </row>
    <row r="45" ht="22.5" customHeight="1">
      <c r="A45" s="117" t="s">
        <v>913</v>
      </c>
      <c r="B45" s="118" t="s">
        <v>904</v>
      </c>
      <c r="C45" s="117" t="s">
        <v>914</v>
      </c>
      <c r="D45" s="117" t="s">
        <v>915</v>
      </c>
      <c r="E45" s="118" t="s">
        <v>791</v>
      </c>
      <c r="F45" s="126"/>
      <c r="G45" s="124"/>
      <c r="H45" s="124"/>
      <c r="I45" s="118" t="s">
        <v>741</v>
      </c>
      <c r="J45" s="118" t="s">
        <v>28</v>
      </c>
      <c r="K45" s="119">
        <v>46223.0</v>
      </c>
      <c r="L45" s="119">
        <v>46285.0</v>
      </c>
      <c r="M45" s="117" t="s">
        <v>910</v>
      </c>
      <c r="N45" s="120"/>
      <c r="O45" s="121">
        <v>0.0</v>
      </c>
      <c r="P45" s="118" t="s">
        <v>181</v>
      </c>
      <c r="Q45" s="120"/>
      <c r="R45" s="120"/>
    </row>
  </sheetData>
  <dataValidations>
    <dataValidation type="list" allowBlank="1" sqref="B2:B45">
      <formula1>"Artículos Seller,Catalogación y Publicación,Stock,Precio,Pedidos,Devoluciones,Comprobantes,Logistica Directa,Logistica Inversa,Conciliacion,Transversal"</formula1>
    </dataValidation>
    <dataValidation type="list" allowBlank="1" sqref="H2:H45">
      <formula1>"Modelo de datos,Validaciones,Estados,Logs,UI,Maquetación,Carga masiva,Endpoint,Integración VTEX,Testing"</formula1>
    </dataValidation>
    <dataValidation type="list" allowBlank="1" showDropDown="1" showErrorMessage="1" sqref="P2:P45">
      <formula1>"Sí,No"</formula1>
    </dataValidation>
    <dataValidation type="list" allowBlank="1" sqref="F2:F45">
      <formula1>"Gabriel,Mauricio,Jorge,Marcelo,Daniel"</formula1>
    </dataValidation>
    <dataValidation type="custom" allowBlank="1" showDropDown="1" sqref="K2:L45">
      <formula1>OR(NOT(ISERROR(DATEVALUE(K2))), AND(ISNUMBER(K2), LEFT(CELL("format", K2))="D"))</formula1>
    </dataValidation>
    <dataValidation type="list" allowBlank="1" sqref="G2:G45">
      <formula1>"Data Model,Backend,Frontend,Integración,API,QA,Análisis"</formula1>
    </dataValidation>
    <dataValidation type="custom" allowBlank="1" showDropDown="1" sqref="O2:O45">
      <formula1>AND(ISNUMBER(O2),(NOT(OR(NOT(ISERROR(DATEVALUE(O2))), AND(ISNUMBER(O2), LEFT(CELL("format", O2))="D")))))</formula1>
    </dataValidation>
    <dataValidation type="list" allowBlank="1" sqref="E2:E45">
      <formula1>"Manual,Masivo,API,Sistema"</formula1>
    </dataValidation>
    <dataValidation type="list" allowBlank="1" sqref="I2:I45">
      <formula1>"No iniciado,Planificado,En curso,Bloqueado,QA,Completado"</formula1>
    </dataValidation>
    <dataValidation type="list" allowBlank="1" showDropDown="1" showErrorMessage="1" sqref="J2:J45">
      <formula1>"Alta,Media"</formula1>
    </dataValidation>
  </dataValidations>
  <hyperlinks>
    <hyperlink r:id="rId1" ref="Q2"/>
    <hyperlink r:id="rId2" ref="R2"/>
    <hyperlink r:id="rId3" ref="Q3"/>
    <hyperlink r:id="rId4" ref="R3"/>
    <hyperlink r:id="rId5" ref="Q4"/>
    <hyperlink r:id="rId6" ref="R4"/>
    <hyperlink r:id="rId7" ref="Q5"/>
    <hyperlink r:id="rId8" ref="R5"/>
    <hyperlink r:id="rId9" ref="Q6"/>
    <hyperlink r:id="rId10" ref="R6"/>
    <hyperlink r:id="rId11" ref="Q7"/>
    <hyperlink r:id="rId12" ref="R7"/>
    <hyperlink r:id="rId13" ref="Q8"/>
    <hyperlink r:id="rId14" ref="R8"/>
    <hyperlink r:id="rId15" ref="Q9"/>
    <hyperlink r:id="rId16" ref="R9"/>
  </hyperlinks>
  <drawing r:id="rId17"/>
  <tableParts count="1">
    <tablePart r:id="rId19"/>
  </tableParts>
</worksheet>
</file>